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680" yWindow="-120" windowWidth="29040" windowHeight="17520" tabRatio="521" firstSheet="0" activeTab="0" autoFilterDateGrouping="1"/>
  </bookViews>
  <sheets>
    <sheet xmlns:r="http://schemas.openxmlformats.org/officeDocument/2006/relationships" name="Annexe 2.1+MO-autorisation24" sheetId="1" state="visible" r:id="rId1"/>
  </sheets>
  <externalReferences>
    <externalReference xmlns:r="http://schemas.openxmlformats.org/officeDocument/2006/relationships" r:id="rId2"/>
  </externalReferences>
  <definedNames>
    <definedName name="choix">#REF!</definedName>
    <definedName name="facturation">#REF!</definedName>
    <definedName name="Oui">#REF!</definedName>
    <definedName name="visite_centre">[1]Liste1!$A$1:$A$2</definedName>
    <definedName name="_xlnm._FilterDatabase" localSheetId="0" hidden="1">'Annexe 2.1+MO-autorisation24'!$A$16:$G$201</definedName>
  </definedNames>
  <calcPr calcId="191029" fullCalcOnLoad="1"/>
</workbook>
</file>

<file path=xl/styles.xml><?xml version="1.0" encoding="utf-8"?>
<styleSheet xmlns="http://schemas.openxmlformats.org/spreadsheetml/2006/main">
  <numFmts count="4">
    <numFmt numFmtId="164" formatCode="#,##0.00\ &quot;€&quot;"/>
    <numFmt numFmtId="165" formatCode="#,##0\ &quot;€&quot;;[Red]\-#,##0\ &quot;€&quot;"/>
    <numFmt numFmtId="166" formatCode="_-* #,##0.00\ &quot;€&quot;_-;\-* #,##0.00\ &quot;€&quot;_-;_-* &quot;-&quot;??\ &quot;€&quot;_-;_-@_-"/>
    <numFmt numFmtId="167" formatCode="_-* #,##0.00\ [$€-1]_-;\-* #,##0.00\ [$€-1]_-;_-* &quot;-&quot;??\ [$€-1]_-"/>
  </numFmts>
  <fonts count="59">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Calibri"/>
      <family val="2"/>
      <color indexed="8"/>
      <sz val="11"/>
    </font>
    <font>
      <name val="Calibri"/>
      <family val="2"/>
      <sz val="10"/>
      <scheme val="minor"/>
    </font>
    <font>
      <name val="Calibri"/>
      <family val="2"/>
      <color rgb="FFFF0000"/>
      <sz val="11"/>
      <scheme val="minor"/>
    </font>
    <font>
      <name val="Calibri"/>
      <family val="2"/>
      <b val="1"/>
      <color theme="1"/>
      <sz val="11"/>
      <scheme val="minor"/>
    </font>
    <font>
      <name val="Calibri"/>
      <family val="2"/>
      <b val="1"/>
      <sz val="10"/>
      <scheme val="minor"/>
    </font>
    <font>
      <name val="Calibri"/>
      <family val="2"/>
      <sz val="11"/>
      <scheme val="minor"/>
    </font>
    <font>
      <name val="Calibri"/>
      <family val="2"/>
      <b val="1"/>
      <sz val="11"/>
      <scheme val="minor"/>
    </font>
    <font>
      <name val="Calibri"/>
      <family val="2"/>
      <b val="1"/>
      <color theme="0"/>
      <sz val="14"/>
      <scheme val="minor"/>
    </font>
    <font>
      <name val="Calibri"/>
      <family val="2"/>
      <b val="1"/>
      <color indexed="8"/>
      <sz val="11"/>
      <scheme val="minor"/>
    </font>
    <font>
      <name val="Calibri"/>
      <family val="2"/>
      <color theme="1"/>
      <sz val="10"/>
      <scheme val="minor"/>
    </font>
    <font>
      <name val="Calibri"/>
      <family val="2"/>
      <color indexed="8"/>
      <sz val="11"/>
      <scheme val="minor"/>
    </font>
    <font>
      <name val="Calibri"/>
      <family val="2"/>
      <color indexed="8"/>
      <sz val="9"/>
      <scheme val="minor"/>
    </font>
    <font>
      <name val="Calibri"/>
      <family val="2"/>
      <sz val="9"/>
      <scheme val="minor"/>
    </font>
    <font>
      <name val="Calibri"/>
      <family val="2"/>
      <i val="1"/>
      <sz val="11"/>
      <scheme val="minor"/>
    </font>
    <font>
      <name val="Calibri"/>
      <family val="2"/>
      <color rgb="FF00B050"/>
      <sz val="10"/>
      <scheme val="minor"/>
    </font>
    <font>
      <name val="Calibri"/>
      <family val="2"/>
      <i val="1"/>
      <color theme="1"/>
      <sz val="11"/>
      <scheme val="minor"/>
    </font>
    <font>
      <name val="Calibri"/>
      <family val="2"/>
      <strike val="1"/>
      <sz val="11"/>
      <scheme val="minor"/>
    </font>
    <font>
      <name val="Calibri"/>
      <family val="2"/>
      <i val="1"/>
      <color rgb="FF00B050"/>
      <sz val="10"/>
      <scheme val="minor"/>
    </font>
    <font>
      <name val="Calibri"/>
      <family val="2"/>
      <color rgb="FF00B050"/>
      <sz val="10"/>
      <u val="single"/>
      <scheme val="minor"/>
    </font>
    <font>
      <name val="Calibri"/>
      <family val="2"/>
      <strike val="1"/>
      <color rgb="FF00B050"/>
      <sz val="10"/>
      <scheme val="minor"/>
    </font>
    <font>
      <name val="Calibri"/>
      <family val="2"/>
      <strike val="1"/>
      <sz val="9"/>
      <scheme val="minor"/>
    </font>
    <font>
      <name val="Calibri"/>
      <family val="2"/>
      <b val="1"/>
      <sz val="11"/>
      <u val="single"/>
      <scheme val="minor"/>
    </font>
    <font>
      <name val="Calibri"/>
      <family val="2"/>
      <color theme="5"/>
      <sz val="10"/>
      <scheme val="minor"/>
    </font>
    <font>
      <name val="Calibri"/>
      <family val="2"/>
      <color rgb="FF0000FF"/>
      <sz val="11"/>
      <scheme val="minor"/>
    </font>
    <font>
      <name val="Calibri"/>
      <family val="2"/>
      <color rgb="FF0000FF"/>
      <sz val="10"/>
      <scheme val="minor"/>
    </font>
    <font>
      <name val="Calibri"/>
      <family val="2"/>
      <strike val="1"/>
      <color rgb="FFC00000"/>
      <sz val="11"/>
      <scheme val="minor"/>
    </font>
    <font>
      <name val="Calibri"/>
      <family val="2"/>
      <color rgb="FFE35487"/>
      <sz val="11"/>
      <scheme val="minor"/>
    </font>
    <font>
      <name val="Calibri"/>
      <family val="2"/>
      <b val="1"/>
      <color theme="9" tint="-0.499984740745262"/>
      <sz val="10"/>
      <scheme val="minor"/>
    </font>
    <font>
      <name val="Calibri"/>
      <family val="2"/>
      <b val="1"/>
      <color rgb="FF000000"/>
      <sz val="11"/>
      <scheme val="minor"/>
    </font>
    <font>
      <name val="Calibri"/>
      <family val="2"/>
      <b val="1"/>
      <color rgb="FF000000"/>
      <sz val="10"/>
      <scheme val="minor"/>
    </font>
    <font>
      <name val="Calibri"/>
      <family val="2"/>
      <color rgb="FF000000"/>
      <sz val="10"/>
      <scheme val="minor"/>
    </font>
    <font>
      <name val="Calibri"/>
      <family val="2"/>
      <color rgb="FF000000"/>
      <sz val="11"/>
      <scheme val="minor"/>
    </font>
    <font>
      <name val="Calibri"/>
      <family val="2"/>
      <color rgb="FF000000"/>
      <sz val="9"/>
      <scheme val="minor"/>
    </font>
    <font>
      <name val="Calibri"/>
      <family val="2"/>
      <i val="1"/>
      <color rgb="FF000000"/>
      <sz val="11"/>
      <scheme val="minor"/>
    </font>
    <font>
      <name val="Calibri"/>
      <family val="2"/>
      <strike val="1"/>
      <sz val="10"/>
      <scheme val="minor"/>
    </font>
    <font>
      <name val="Calibri"/>
      <family val="2"/>
      <b val="1"/>
      <color theme="7"/>
      <sz val="10"/>
      <scheme val="minor"/>
    </font>
    <font>
      <name val="Calibri"/>
      <family val="2"/>
      <color rgb="FF7030A0"/>
      <sz val="10"/>
      <scheme val="minor"/>
    </font>
    <font>
      <name val="Calibri"/>
      <family val="2"/>
      <b val="1"/>
      <color rgb="FF7030A0"/>
      <sz val="11"/>
      <scheme val="minor"/>
    </font>
    <font>
      <name val="Calibri"/>
      <family val="2"/>
      <strike val="1"/>
      <color rgb="FF7030A0"/>
      <sz val="11"/>
      <scheme val="minor"/>
    </font>
    <font>
      <name val="Calibri"/>
      <family val="2"/>
      <color rgb="FF7030A0"/>
      <sz val="11"/>
      <scheme val="minor"/>
    </font>
    <font>
      <name val="Calibri"/>
      <family val="2"/>
      <color rgb="FFFFC000"/>
      <sz val="11"/>
      <scheme val="minor"/>
    </font>
    <font>
      <name val="Calibri"/>
      <family val="2"/>
      <color rgb="FFFFC000"/>
      <sz val="10"/>
      <scheme val="minor"/>
    </font>
    <font>
      <name val="Calibri"/>
      <family val="2"/>
      <strike val="1"/>
      <color rgb="FF7030A0"/>
      <sz val="10"/>
      <scheme val="minor"/>
    </font>
    <font>
      <name val="Calibri"/>
      <family val="2"/>
      <b val="1"/>
      <color rgb="FFFFC000"/>
      <sz val="11"/>
      <scheme val="minor"/>
    </font>
    <font>
      <name val="Calibri"/>
      <family val="2"/>
      <b val="1"/>
      <strike val="1"/>
      <color rgb="FFFFC000"/>
      <sz val="10"/>
      <scheme val="minor"/>
    </font>
    <font>
      <name val="Calibri"/>
      <family val="2"/>
      <color theme="0"/>
      <sz val="10"/>
      <scheme val="minor"/>
    </font>
    <font>
      <name val="Calibri"/>
      <family val="2"/>
      <b val="1"/>
      <sz val="9.35"/>
    </font>
    <font>
      <name val="Calibri"/>
      <family val="2"/>
      <b val="1"/>
      <sz val="11"/>
    </font>
    <font>
      <name val="Calibri"/>
      <family val="2"/>
      <b val="1"/>
      <sz val="9"/>
      <scheme val="minor"/>
    </font>
    <font>
      <name val="Calibri"/>
      <family val="2"/>
      <i val="1"/>
      <sz val="9"/>
      <scheme val="minor"/>
    </font>
    <font>
      <name val="Calibri"/>
      <family val="2"/>
      <color theme="1"/>
      <sz val="9"/>
      <scheme val="minor"/>
    </font>
    <font>
      <name val="Calibri"/>
      <family val="2"/>
      <b val="1"/>
      <color theme="9" tint="-0.249977111117893"/>
      <sz val="12"/>
      <u val="single"/>
      <scheme val="minor"/>
    </font>
    <font>
      <name val="Calibri"/>
      <family val="2"/>
      <b val="1"/>
      <color theme="1"/>
      <sz val="12"/>
      <scheme val="minor"/>
    </font>
    <font>
      <name val="Calibri"/>
      <family val="2"/>
      <b val="1"/>
      <sz val="12"/>
      <scheme val="minor"/>
    </font>
    <font>
      <name val="Calibri"/>
      <family val="2"/>
      <b val="1"/>
      <sz val="14"/>
      <scheme val="minor"/>
    </font>
  </fonts>
  <fills count="10">
    <fill>
      <patternFill/>
    </fill>
    <fill>
      <patternFill patternType="gray125"/>
    </fill>
    <fill>
      <patternFill patternType="solid">
        <fgColor theme="0"/>
        <bgColor indexed="64"/>
      </patternFill>
    </fill>
    <fill>
      <patternFill patternType="solid">
        <fgColor rgb="FF006F80"/>
        <bgColor indexed="64"/>
      </patternFill>
    </fill>
    <fill>
      <patternFill patternType="solid">
        <fgColor rgb="FFBCCFE6"/>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rgb="FFFFFF00"/>
        <bgColor indexed="64"/>
      </patternFill>
    </fill>
    <fill>
      <patternFill patternType="solid">
        <fgColor rgb="00ADD8E6"/>
        <bgColor rgb="00ADD8E6"/>
      </patternFill>
    </fill>
    <fill>
      <patternFill patternType="solid">
        <fgColor rgb="00FFC7CE"/>
        <bgColor rgb="00FFC7CE"/>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s>
  <cellStyleXfs count="45">
    <xf numFmtId="0" fontId="2" fillId="0" borderId="0"/>
    <xf numFmtId="0" fontId="2" fillId="0" borderId="0"/>
    <xf numFmtId="44" fontId="2" fillId="0" borderId="0"/>
    <xf numFmtId="0" fontId="3" fillId="0" borderId="0"/>
    <xf numFmtId="44" fontId="2" fillId="0" borderId="0"/>
    <xf numFmtId="167" fontId="3" fillId="0" borderId="0"/>
    <xf numFmtId="44" fontId="4" fillId="0" borderId="0"/>
    <xf numFmtId="0" fontId="2" fillId="0" borderId="0"/>
    <xf numFmtId="44" fontId="2" fillId="0" borderId="0"/>
    <xf numFmtId="44" fontId="2" fillId="0" borderId="0"/>
    <xf numFmtId="44" fontId="4" fillId="0" borderId="0"/>
    <xf numFmtId="44" fontId="2" fillId="0" borderId="0"/>
    <xf numFmtId="44" fontId="2" fillId="0" borderId="0"/>
    <xf numFmtId="44" fontId="4" fillId="0" borderId="0"/>
    <xf numFmtId="44" fontId="2" fillId="0" borderId="0"/>
    <xf numFmtId="44" fontId="2" fillId="0" borderId="0"/>
    <xf numFmtId="44" fontId="4" fillId="0" borderId="0"/>
    <xf numFmtId="44" fontId="2" fillId="0" borderId="0"/>
    <xf numFmtId="44" fontId="2" fillId="0" borderId="0"/>
    <xf numFmtId="44" fontId="4" fillId="0" borderId="0"/>
    <xf numFmtId="44" fontId="2" fillId="0" borderId="0"/>
    <xf numFmtId="44" fontId="2" fillId="0" borderId="0"/>
    <xf numFmtId="44" fontId="4" fillId="0" borderId="0"/>
    <xf numFmtId="44" fontId="2" fillId="0" borderId="0"/>
    <xf numFmtId="0" fontId="2" fillId="0" borderId="0"/>
    <xf numFmtId="44" fontId="2" fillId="0" borderId="0"/>
    <xf numFmtId="44" fontId="2" fillId="0" borderId="0"/>
    <xf numFmtId="44" fontId="4" fillId="0" borderId="0"/>
    <xf numFmtId="0" fontId="2" fillId="0" borderId="0"/>
    <xf numFmtId="44" fontId="2" fillId="0" borderId="0"/>
    <xf numFmtId="44" fontId="2" fillId="0" borderId="0"/>
    <xf numFmtId="44" fontId="4" fillId="0" borderId="0"/>
    <xf numFmtId="44" fontId="2" fillId="0" borderId="0"/>
    <xf numFmtId="44" fontId="2" fillId="0" borderId="0"/>
    <xf numFmtId="44" fontId="4" fillId="0" borderId="0"/>
    <xf numFmtId="44" fontId="2" fillId="0" borderId="0"/>
    <xf numFmtId="44" fontId="2" fillId="0" borderId="0"/>
    <xf numFmtId="44" fontId="4" fillId="0" borderId="0"/>
    <xf numFmtId="44" fontId="2" fillId="0" borderId="0"/>
    <xf numFmtId="44" fontId="2" fillId="0" borderId="0"/>
    <xf numFmtId="44" fontId="4" fillId="0" borderId="0"/>
    <xf numFmtId="44" fontId="2" fillId="0" borderId="0"/>
    <xf numFmtId="44" fontId="2" fillId="0" borderId="0"/>
    <xf numFmtId="44" fontId="4" fillId="0" borderId="0"/>
    <xf numFmtId="44" fontId="2" fillId="0" borderId="0"/>
  </cellStyleXfs>
  <cellXfs count="237">
    <xf numFmtId="0" fontId="0" fillId="0" borderId="0" pivotButton="0" quotePrefix="0" xfId="0"/>
    <xf numFmtId="0" fontId="0" fillId="0" borderId="0" applyAlignment="1" pivotButton="0" quotePrefix="0" xfId="0">
      <alignment vertical="center"/>
    </xf>
    <xf numFmtId="0" fontId="7" fillId="0"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vertical="center" wrapText="1"/>
    </xf>
    <xf numFmtId="0" fontId="9" fillId="0" borderId="0" applyAlignment="1" pivotButton="0" quotePrefix="0" xfId="0">
      <alignment vertical="center"/>
    </xf>
    <xf numFmtId="0" fontId="13" fillId="0" borderId="0" applyAlignment="1" pivotButton="0" quotePrefix="0" xfId="0">
      <alignment vertical="center"/>
    </xf>
    <xf numFmtId="0" fontId="0" fillId="0" borderId="1" applyAlignment="1" pivotButton="0" quotePrefix="0" xfId="0">
      <alignment horizontal="center" vertical="center"/>
    </xf>
    <xf numFmtId="164" fontId="9" fillId="0" borderId="1" applyAlignment="1" pivotButton="0" quotePrefix="0" xfId="0">
      <alignment horizontal="right" vertical="center" wrapText="1"/>
    </xf>
    <xf numFmtId="0" fontId="9" fillId="0" borderId="1" applyAlignment="1" pivotButton="0" quotePrefix="0" xfId="0">
      <alignment horizontal="center" vertical="center" wrapText="1"/>
    </xf>
    <xf numFmtId="0" fontId="10" fillId="0" borderId="0" applyAlignment="1" pivotButton="0" quotePrefix="0" xfId="0">
      <alignment vertical="center"/>
    </xf>
    <xf numFmtId="164" fontId="9" fillId="0" borderId="1" applyAlignment="1" pivotButton="0" quotePrefix="0" xfId="0">
      <alignment horizontal="center" vertical="center" wrapText="1"/>
    </xf>
    <xf numFmtId="0" fontId="9" fillId="2" borderId="1" applyAlignment="1" pivotButton="0" quotePrefix="0" xfId="0">
      <alignment horizontal="center" vertical="center" wrapText="1"/>
    </xf>
    <xf numFmtId="0" fontId="9" fillId="0" borderId="1" applyAlignment="1" pivotButton="0" quotePrefix="0" xfId="0">
      <alignment horizontal="center" vertical="center"/>
    </xf>
    <xf numFmtId="0" fontId="0" fillId="2" borderId="1" applyAlignment="1" pivotButton="0" quotePrefix="0" xfId="0">
      <alignment horizontal="center" vertical="center"/>
    </xf>
    <xf numFmtId="0" fontId="8" fillId="0" borderId="0" applyAlignment="1" pivotButton="0" quotePrefix="0" xfId="0">
      <alignment vertical="center"/>
    </xf>
    <xf numFmtId="164" fontId="0" fillId="0" borderId="0" applyAlignment="1" pivotButton="0" quotePrefix="0" xfId="0">
      <alignment horizontal="center" vertical="center"/>
    </xf>
    <xf numFmtId="0" fontId="6" fillId="0" borderId="0" applyAlignment="1" pivotButton="0" quotePrefix="0" xfId="0">
      <alignment vertical="center"/>
    </xf>
    <xf numFmtId="0" fontId="5" fillId="0" borderId="0" applyAlignment="1" pivotButton="0" quotePrefix="0" xfId="0">
      <alignment horizontal="center" vertical="center"/>
    </xf>
    <xf numFmtId="0" fontId="14" fillId="0" borderId="1" applyAlignment="1" pivotButton="0" quotePrefix="0" xfId="0">
      <alignment horizontal="center" vertical="center" wrapText="1"/>
    </xf>
    <xf numFmtId="0" fontId="9" fillId="2" borderId="1" applyAlignment="1" pivotButton="0" quotePrefix="0" xfId="0">
      <alignment horizontal="center" vertical="center"/>
    </xf>
    <xf numFmtId="164" fontId="0" fillId="2" borderId="1" applyAlignment="1" pivotButton="0" quotePrefix="0" xfId="0">
      <alignment horizontal="center" vertical="center"/>
    </xf>
    <xf numFmtId="0" fontId="0" fillId="2" borderId="1" applyAlignment="1" pivotButton="0" quotePrefix="0" xfId="0">
      <alignment horizontal="center" vertical="center" wrapText="1"/>
    </xf>
    <xf numFmtId="164" fontId="9" fillId="2" borderId="1" applyAlignment="1" pivotButton="0" quotePrefix="0" xfId="0">
      <alignment horizontal="center" vertical="center"/>
    </xf>
    <xf numFmtId="1" fontId="9" fillId="2" borderId="1" applyAlignment="1" pivotButton="0" quotePrefix="0" xfId="0">
      <alignment horizontal="center" vertical="center"/>
    </xf>
    <xf numFmtId="164" fontId="9" fillId="2" borderId="1" applyAlignment="1" pivotButton="0" quotePrefix="0" xfId="0">
      <alignment horizontal="center" vertical="center" wrapText="1"/>
    </xf>
    <xf numFmtId="1" fontId="0" fillId="2" borderId="1" applyAlignment="1" pivotButton="0" quotePrefix="0" xfId="0">
      <alignment horizontal="center" vertical="center"/>
    </xf>
    <xf numFmtId="1" fontId="9" fillId="2" borderId="1" applyAlignment="1" pivotButton="0" quotePrefix="0" xfId="0">
      <alignment horizontal="center" vertical="center" wrapText="1"/>
    </xf>
    <xf numFmtId="0" fontId="0" fillId="0" borderId="1" applyAlignment="1" pivotButton="0" quotePrefix="0" xfId="0">
      <alignment horizontal="center" vertical="center" wrapText="1"/>
    </xf>
    <xf numFmtId="1" fontId="9" fillId="0" borderId="0" applyAlignment="1" pivotButton="0" quotePrefix="0" xfId="0">
      <alignment horizontal="center" vertical="center"/>
    </xf>
    <xf numFmtId="164" fontId="5" fillId="0" borderId="0" applyAlignment="1" pivotButton="0" quotePrefix="0" xfId="0">
      <alignment horizontal="center" vertical="center"/>
    </xf>
    <xf numFmtId="1" fontId="5" fillId="0" borderId="0" applyAlignment="1" pivotButton="0" quotePrefix="0" xfId="0">
      <alignment horizontal="center" vertical="center"/>
    </xf>
    <xf numFmtId="1" fontId="9" fillId="0" borderId="1" applyAlignment="1" pivotButton="0" quotePrefix="0" xfId="0">
      <alignment horizontal="center" vertical="center"/>
    </xf>
    <xf numFmtId="2" fontId="9" fillId="0" borderId="1" applyAlignment="1" pivotButton="0" quotePrefix="0" xfId="0">
      <alignment horizontal="center" vertical="center" wrapText="1"/>
    </xf>
    <xf numFmtId="1" fontId="9" fillId="0" borderId="1" applyAlignment="1" pivotButton="0" quotePrefix="0" xfId="0">
      <alignment horizontal="center" vertical="center" wrapText="1"/>
    </xf>
    <xf numFmtId="164" fontId="9" fillId="0" borderId="1" applyAlignment="1" pivotButton="0" quotePrefix="0" xfId="0">
      <alignment horizontal="center" vertical="center"/>
    </xf>
    <xf numFmtId="165" fontId="9" fillId="0" borderId="1" applyAlignment="1" pivotButton="0" quotePrefix="0" xfId="0">
      <alignment horizontal="center" vertical="center" wrapText="1"/>
    </xf>
    <xf numFmtId="164" fontId="0" fillId="0" borderId="1" applyAlignment="1" pivotButton="0" quotePrefix="0" xfId="0">
      <alignment horizontal="center" vertical="center"/>
    </xf>
    <xf numFmtId="165" fontId="9" fillId="2" borderId="1" applyAlignment="1" pivotButton="0" quotePrefix="0" xfId="0">
      <alignment horizontal="center" vertical="center" wrapText="1"/>
    </xf>
    <xf numFmtId="165" fontId="0" fillId="0" borderId="1" applyAlignment="1" pivotButton="0" quotePrefix="0" xfId="0">
      <alignment horizontal="center" vertical="center" wrapText="1"/>
    </xf>
    <xf numFmtId="1" fontId="20" fillId="2" borderId="1" applyAlignment="1" pivotButton="0" quotePrefix="0" xfId="0">
      <alignment horizontal="center" vertical="center"/>
    </xf>
    <xf numFmtId="0" fontId="10" fillId="0" borderId="0" applyAlignment="1" pivotButton="0" quotePrefix="0" xfId="0">
      <alignment horizontal="center" vertical="center"/>
    </xf>
    <xf numFmtId="164" fontId="0" fillId="0" borderId="0" applyAlignment="1" pivotButton="0" quotePrefix="0" xfId="0">
      <alignment horizontal="right" vertical="center"/>
    </xf>
    <xf numFmtId="164" fontId="5" fillId="0" borderId="0" applyAlignment="1" pivotButton="0" quotePrefix="0" xfId="0">
      <alignment horizontal="right" vertical="center"/>
    </xf>
    <xf numFmtId="0" fontId="10" fillId="0" borderId="0" applyAlignment="1" pivotButton="0" quotePrefix="0" xfId="0">
      <alignment horizontal="right" vertical="center"/>
    </xf>
    <xf numFmtId="2" fontId="0" fillId="0" borderId="1" applyAlignment="1" pivotButton="0" quotePrefix="0" xfId="0">
      <alignment horizontal="center" vertical="center" wrapText="1"/>
    </xf>
    <xf numFmtId="164" fontId="0" fillId="0" borderId="1" applyAlignment="1" pivotButton="0" quotePrefix="0" xfId="0">
      <alignment horizontal="center" vertical="center" wrapText="1"/>
    </xf>
    <xf numFmtId="1" fontId="0" fillId="0" borderId="1" applyAlignment="1" pivotButton="0" quotePrefix="0" xfId="0">
      <alignment horizontal="center" vertical="center"/>
    </xf>
    <xf numFmtId="166" fontId="27" fillId="0" borderId="1" applyAlignment="1" pivotButton="0" quotePrefix="0" xfId="0">
      <alignment horizontal="center" vertical="center"/>
    </xf>
    <xf numFmtId="0" fontId="43" fillId="0" borderId="0" applyAlignment="1" pivotButton="0" quotePrefix="0" xfId="0">
      <alignment vertical="center" wrapText="1"/>
    </xf>
    <xf numFmtId="0" fontId="43" fillId="0" borderId="1" applyAlignment="1" pivotButton="0" quotePrefix="0" xfId="0">
      <alignment horizontal="center" vertical="center" wrapText="1"/>
    </xf>
    <xf numFmtId="0" fontId="42" fillId="0" borderId="1" applyAlignment="1" pivotButton="0" quotePrefix="0" xfId="0">
      <alignment horizontal="center" vertical="center"/>
    </xf>
    <xf numFmtId="0" fontId="43" fillId="0" borderId="0" applyAlignment="1" pivotButton="0" quotePrefix="0" xfId="0">
      <alignment vertical="center"/>
    </xf>
    <xf numFmtId="0" fontId="41" fillId="0" borderId="0" applyAlignment="1" pivotButton="0" quotePrefix="0" xfId="0">
      <alignment vertical="center"/>
    </xf>
    <xf numFmtId="0" fontId="43" fillId="0" borderId="1" applyAlignment="1" pivotButton="0" quotePrefix="0" xfId="0">
      <alignment horizontal="center" vertical="center"/>
    </xf>
    <xf numFmtId="1" fontId="42" fillId="0" borderId="1" applyAlignment="1" pivotButton="0" quotePrefix="0" xfId="0">
      <alignment horizontal="center" vertical="center"/>
    </xf>
    <xf numFmtId="1" fontId="43" fillId="0" borderId="1" applyAlignment="1" pivotButton="0" quotePrefix="0" xfId="0">
      <alignment horizontal="center" vertical="center"/>
    </xf>
    <xf numFmtId="164" fontId="43" fillId="0" borderId="1" applyAlignment="1" pivotButton="0" quotePrefix="0" xfId="4">
      <alignment horizontal="center" vertical="center"/>
    </xf>
    <xf numFmtId="0" fontId="43" fillId="0" borderId="1" applyAlignment="1" pivotButton="0" quotePrefix="0" xfId="0">
      <alignment horizontal="center"/>
    </xf>
    <xf numFmtId="1" fontId="43" fillId="0" borderId="1" applyAlignment="1" pivotButton="0" quotePrefix="0" xfId="0">
      <alignment horizontal="center"/>
    </xf>
    <xf numFmtId="0" fontId="30" fillId="0" borderId="1" applyAlignment="1" pivotButton="0" quotePrefix="0" xfId="0">
      <alignment horizontal="center" vertical="center" wrapText="1"/>
    </xf>
    <xf numFmtId="165" fontId="9" fillId="0" borderId="1" applyAlignment="1" pivotButton="0" quotePrefix="0" xfId="0">
      <alignment horizontal="left" vertical="center" wrapText="1"/>
    </xf>
    <xf numFmtId="0" fontId="41" fillId="0" borderId="1" applyAlignment="1" pivotButton="0" quotePrefix="0" xfId="0">
      <alignment horizontal="center" vertical="center"/>
    </xf>
    <xf numFmtId="0" fontId="9" fillId="0" borderId="1" applyAlignment="1" pivotButton="0" quotePrefix="0" xfId="0">
      <alignment vertical="center" wrapText="1"/>
    </xf>
    <xf numFmtId="0" fontId="9" fillId="0" borderId="1" applyAlignment="1" pivotButton="0" quotePrefix="0" xfId="0">
      <alignment horizontal="left" vertical="center" wrapText="1"/>
    </xf>
    <xf numFmtId="0" fontId="7" fillId="0" borderId="1" applyAlignment="1" pivotButton="0" quotePrefix="0" xfId="0">
      <alignment vertical="center"/>
    </xf>
    <xf numFmtId="0" fontId="7" fillId="0" borderId="1" applyAlignment="1" pivotButton="0" quotePrefix="0" xfId="0">
      <alignment vertical="center" wrapText="1"/>
    </xf>
    <xf numFmtId="0" fontId="10" fillId="0" borderId="1" applyAlignment="1" pivotButton="0" quotePrefix="0" xfId="0">
      <alignment vertical="center"/>
    </xf>
    <xf numFmtId="0" fontId="10" fillId="0" borderId="1" applyAlignment="1" pivotButton="0" quotePrefix="0" xfId="0">
      <alignment vertical="center" wrapText="1"/>
    </xf>
    <xf numFmtId="0" fontId="10" fillId="0" borderId="1" applyAlignment="1" pivotButton="0" quotePrefix="0" xfId="0">
      <alignment horizontal="left" vertical="center" wrapText="1"/>
    </xf>
    <xf numFmtId="0" fontId="10" fillId="5" borderId="3" applyAlignment="1" pivotButton="0" quotePrefix="0" xfId="0">
      <alignment horizontal="center" vertical="center" wrapText="1"/>
    </xf>
    <xf numFmtId="164" fontId="9" fillId="0" borderId="1" applyAlignment="1" pivotButton="0" quotePrefix="0" xfId="0">
      <alignment horizontal="left" vertical="center" wrapText="1"/>
    </xf>
    <xf numFmtId="2" fontId="9" fillId="2" borderId="1" applyAlignment="1" pivotButton="0" quotePrefix="0" xfId="0">
      <alignment horizontal="center" vertical="center" wrapText="1"/>
    </xf>
    <xf numFmtId="0" fontId="10" fillId="0" borderId="1" applyAlignment="1" pivotButton="0" quotePrefix="0" xfId="0">
      <alignment horizontal="center" vertical="center" wrapText="1"/>
    </xf>
    <xf numFmtId="164" fontId="9" fillId="0" borderId="1" applyAlignment="1" pivotButton="0" quotePrefix="0" xfId="4">
      <alignment horizontal="center" vertical="center"/>
    </xf>
    <xf numFmtId="164" fontId="9" fillId="0" borderId="1" applyAlignment="1" pivotButton="0" quotePrefix="0" xfId="4">
      <alignment horizontal="center" vertical="center" wrapText="1"/>
    </xf>
    <xf numFmtId="0" fontId="9" fillId="0" borderId="1" applyAlignment="1" pivotButton="0" quotePrefix="0" xfId="0">
      <alignment horizontal="center"/>
    </xf>
    <xf numFmtId="164" fontId="9" fillId="0" borderId="1" applyAlignment="1" pivotButton="0" quotePrefix="0" xfId="23">
      <alignment horizontal="center" vertical="center"/>
    </xf>
    <xf numFmtId="164" fontId="0" fillId="0" borderId="1" applyAlignment="1" pivotButton="0" quotePrefix="0" xfId="4">
      <alignment horizontal="center" vertical="center"/>
    </xf>
    <xf numFmtId="0" fontId="0" fillId="0" borderId="1" applyAlignment="1" pivotButton="0" quotePrefix="0" xfId="0">
      <alignment horizontal="center"/>
    </xf>
    <xf numFmtId="164" fontId="0" fillId="0" borderId="1" applyAlignment="1" pivotButton="0" quotePrefix="0" xfId="23">
      <alignment horizontal="center" vertical="center"/>
    </xf>
    <xf numFmtId="164" fontId="0" fillId="0" borderId="1" applyAlignment="1" pivotButton="0" quotePrefix="0" xfId="0">
      <alignment horizontal="center"/>
    </xf>
    <xf numFmtId="164" fontId="9" fillId="0" borderId="0" applyAlignment="1" pivotButton="0" quotePrefix="0" xfId="0">
      <alignment horizontal="center" vertical="center"/>
    </xf>
    <xf numFmtId="164" fontId="20" fillId="0" borderId="1" applyAlignment="1" pivotButton="0" quotePrefix="0" xfId="0">
      <alignment horizontal="center" vertical="center" wrapText="1"/>
    </xf>
    <xf numFmtId="164" fontId="10" fillId="0" borderId="1" applyAlignment="1" pivotButton="0" quotePrefix="0" xfId="0">
      <alignment horizontal="center" vertical="center"/>
    </xf>
    <xf numFmtId="0" fontId="7" fillId="0" borderId="5" applyAlignment="1" pivotButton="0" quotePrefix="0" xfId="0">
      <alignment horizontal="center" vertical="center"/>
    </xf>
    <xf numFmtId="0" fontId="7" fillId="0" borderId="1" applyAlignment="1" pivotButton="0" quotePrefix="0" xfId="0">
      <alignment horizontal="center" vertical="center" wrapText="1"/>
    </xf>
    <xf numFmtId="164" fontId="10" fillId="0" borderId="1" applyAlignment="1" pivotButton="0" quotePrefix="0" xfId="0">
      <alignment horizontal="center" vertical="center" wrapText="1"/>
    </xf>
    <xf numFmtId="1" fontId="10" fillId="0" borderId="1" applyAlignment="1" pivotButton="0" quotePrefix="0" xfId="0">
      <alignment horizontal="center" vertical="center" wrapText="1"/>
    </xf>
    <xf numFmtId="0" fontId="14" fillId="0" borderId="1" applyAlignment="1" pivotButton="0" quotePrefix="0" xfId="0">
      <alignment horizontal="left" vertical="center" wrapText="1"/>
    </xf>
    <xf numFmtId="0" fontId="35" fillId="0" borderId="1" applyAlignment="1" pivotButton="0" quotePrefix="0" xfId="0">
      <alignment vertical="center" wrapText="1"/>
    </xf>
    <xf numFmtId="0" fontId="35" fillId="0" borderId="1" applyAlignment="1" pivotButton="0" quotePrefix="0" xfId="0">
      <alignment horizontal="left" vertical="center" wrapText="1"/>
    </xf>
    <xf numFmtId="2" fontId="9" fillId="0" borderId="1" applyAlignment="1" pivotButton="0" quotePrefix="0" xfId="0">
      <alignment horizontal="center" vertical="center"/>
    </xf>
    <xf numFmtId="0" fontId="7" fillId="0" borderId="1" applyAlignment="1" pivotButton="0" quotePrefix="0" xfId="0">
      <alignment horizontal="left" vertical="center" wrapText="1"/>
    </xf>
    <xf numFmtId="0" fontId="9" fillId="2" borderId="1" applyAlignment="1" pivotButton="0" quotePrefix="0" xfId="0">
      <alignment horizontal="left" vertical="center" wrapText="1"/>
    </xf>
    <xf numFmtId="0" fontId="10" fillId="0" borderId="1" applyAlignment="1" pivotButton="0" quotePrefix="0" xfId="0">
      <alignment horizontal="center" vertical="center"/>
    </xf>
    <xf numFmtId="0" fontId="10" fillId="0" borderId="1" applyAlignment="1" pivotButton="0" quotePrefix="0" xfId="0">
      <alignment horizontal="left" vertical="center"/>
    </xf>
    <xf numFmtId="0" fontId="8" fillId="0" borderId="1" applyAlignment="1" pivotButton="0" quotePrefix="0" xfId="0">
      <alignment vertical="center" wrapText="1"/>
    </xf>
    <xf numFmtId="0" fontId="0" fillId="2" borderId="1" applyAlignment="1" pivotButton="0" quotePrefix="0" xfId="0">
      <alignment horizontal="left" vertical="center" wrapText="1"/>
    </xf>
    <xf numFmtId="0" fontId="10" fillId="2" borderId="1" applyAlignment="1" pivotButton="0" quotePrefix="0" xfId="0">
      <alignment vertical="center" wrapText="1"/>
    </xf>
    <xf numFmtId="0" fontId="0" fillId="0" borderId="1" applyAlignment="1" pivotButton="0" quotePrefix="0" xfId="0">
      <alignment vertical="center" wrapText="1"/>
    </xf>
    <xf numFmtId="0" fontId="0" fillId="0" borderId="1" applyAlignment="1" pivotButton="0" quotePrefix="0" xfId="0">
      <alignment horizontal="left" vertical="center" wrapText="1"/>
    </xf>
    <xf numFmtId="164" fontId="9" fillId="0" borderId="1" applyAlignment="1" pivotButton="0" quotePrefix="1" xfId="0">
      <alignment horizontal="left" vertical="center" wrapText="1"/>
    </xf>
    <xf numFmtId="166" fontId="9" fillId="0" borderId="1" applyAlignment="1" pivotButton="0" quotePrefix="0" xfId="0">
      <alignment horizontal="left" vertical="center" wrapText="1"/>
    </xf>
    <xf numFmtId="0" fontId="7" fillId="6" borderId="3" applyAlignment="1" pivotButton="0" quotePrefix="0" xfId="0">
      <alignment horizontal="center" vertical="center" wrapText="1"/>
    </xf>
    <xf numFmtId="0" fontId="11" fillId="3" borderId="3" applyAlignment="1" pivotButton="0" quotePrefix="0" xfId="0">
      <alignment horizontal="center" vertical="center"/>
    </xf>
    <xf numFmtId="0" fontId="10" fillId="4" borderId="3" applyAlignment="1" pivotButton="0" quotePrefix="0" xfId="0">
      <alignment horizontal="center" vertical="center" wrapText="1"/>
    </xf>
    <xf numFmtId="0" fontId="7" fillId="4" borderId="3" applyAlignment="1" pivotButton="0" quotePrefix="0" xfId="0">
      <alignment horizontal="center" vertical="center" wrapText="1"/>
    </xf>
    <xf numFmtId="0" fontId="9" fillId="0" borderId="3" applyAlignment="1" pivotButton="0" quotePrefix="0" xfId="0">
      <alignment vertical="center"/>
    </xf>
    <xf numFmtId="0" fontId="9" fillId="0" borderId="4" applyAlignment="1" pivotButton="0" quotePrefix="0" xfId="0">
      <alignment vertical="center"/>
    </xf>
    <xf numFmtId="0" fontId="56" fillId="7" borderId="1" applyAlignment="1" pivotButton="0" quotePrefix="0" xfId="0">
      <alignment horizontal="center" vertical="center"/>
    </xf>
    <xf numFmtId="164" fontId="57" fillId="7" borderId="1" applyAlignment="1" pivotButton="0" quotePrefix="0" xfId="0">
      <alignment horizontal="center" vertical="center"/>
    </xf>
    <xf numFmtId="1" fontId="57" fillId="7" borderId="1" applyAlignment="1" pivotButton="0" quotePrefix="0" xfId="0">
      <alignment horizontal="center" vertical="center"/>
    </xf>
    <xf numFmtId="164" fontId="56" fillId="7" borderId="1" applyAlignment="1" pivotButton="0" quotePrefix="0" xfId="0">
      <alignment horizontal="center" vertical="center"/>
    </xf>
    <xf numFmtId="164" fontId="56" fillId="7" borderId="3" applyAlignment="1" pivotButton="0" quotePrefix="0" xfId="0">
      <alignment horizontal="center" vertical="center"/>
    </xf>
    <xf numFmtId="164" fontId="10" fillId="0" borderId="3" applyAlignment="1" pivotButton="0" quotePrefix="0" xfId="0">
      <alignment horizontal="right" vertical="center" wrapText="1"/>
    </xf>
    <xf numFmtId="0" fontId="11" fillId="3" borderId="3" applyAlignment="1" pivotButton="0" quotePrefix="0" xfId="0">
      <alignment vertical="center"/>
    </xf>
    <xf numFmtId="164" fontId="9" fillId="0" borderId="3" applyAlignment="1" pivotButton="0" quotePrefix="0" xfId="0">
      <alignment horizontal="right" vertical="center"/>
    </xf>
    <xf numFmtId="0" fontId="7" fillId="6" borderId="4" applyAlignment="1" pivotButton="0" quotePrefix="0" xfId="0">
      <alignment vertical="center" wrapText="1"/>
    </xf>
    <xf numFmtId="0" fontId="7" fillId="6" borderId="3" applyAlignment="1" pivotButton="0" quotePrefix="0" xfId="0">
      <alignment vertical="center" wrapText="1"/>
    </xf>
    <xf numFmtId="0" fontId="10" fillId="6" borderId="3" applyAlignment="1" pivotButton="0" quotePrefix="0" xfId="0">
      <alignment vertical="center" wrapText="1"/>
    </xf>
    <xf numFmtId="0" fontId="13" fillId="6" borderId="3" applyAlignment="1" pivotButton="0" quotePrefix="0" xfId="0">
      <alignment vertical="center" wrapText="1"/>
    </xf>
    <xf numFmtId="164" fontId="9" fillId="0" borderId="3" applyAlignment="1" pivotButton="0" quotePrefix="0" xfId="0">
      <alignment horizontal="right" vertical="center" wrapText="1"/>
    </xf>
    <xf numFmtId="164" fontId="0" fillId="0" borderId="3" applyAlignment="1" pivotButton="0" quotePrefix="0" xfId="0">
      <alignment horizontal="right" vertical="center"/>
    </xf>
    <xf numFmtId="0" fontId="10" fillId="5" borderId="3" applyAlignment="1" pivotButton="0" quotePrefix="0" xfId="0">
      <alignment vertical="center" wrapText="1"/>
    </xf>
    <xf numFmtId="0" fontId="0" fillId="0" borderId="3" applyAlignment="1" pivotButton="0" quotePrefix="0" xfId="0">
      <alignment horizontal="right" vertical="center" wrapText="1"/>
    </xf>
    <xf numFmtId="164" fontId="0" fillId="0" borderId="3" applyAlignment="1" pivotButton="0" quotePrefix="0" xfId="0">
      <alignment horizontal="right" vertical="center" wrapText="1"/>
    </xf>
    <xf numFmtId="0" fontId="9" fillId="0" borderId="3" applyAlignment="1" pivotButton="0" quotePrefix="0" xfId="0">
      <alignment horizontal="right" vertical="center" wrapText="1"/>
    </xf>
    <xf numFmtId="0" fontId="11" fillId="3" borderId="3" applyAlignment="1" pivotButton="0" quotePrefix="0" xfId="0">
      <alignment vertical="center" wrapText="1"/>
    </xf>
    <xf numFmtId="0" fontId="10" fillId="4" borderId="3" applyAlignment="1" pivotButton="0" quotePrefix="0" xfId="0">
      <alignment vertical="center" wrapText="1"/>
    </xf>
    <xf numFmtId="164" fontId="9" fillId="2" borderId="3" applyAlignment="1" pivotButton="0" quotePrefix="0" xfId="0">
      <alignment horizontal="right" vertical="center" wrapText="1"/>
    </xf>
    <xf numFmtId="164" fontId="0" fillId="2" borderId="3" applyAlignment="1" pivotButton="0" quotePrefix="0" xfId="0">
      <alignment horizontal="right" vertical="center"/>
    </xf>
    <xf numFmtId="0" fontId="7" fillId="4" borderId="3" applyAlignment="1" pivotButton="0" quotePrefix="0" xfId="0">
      <alignment vertical="center" wrapText="1"/>
    </xf>
    <xf numFmtId="164" fontId="9" fillId="2" borderId="3" applyAlignment="1" pivotButton="0" quotePrefix="0" xfId="0">
      <alignment horizontal="right" vertical="center"/>
    </xf>
    <xf numFmtId="164" fontId="7" fillId="0" borderId="7" applyAlignment="1" pivotButton="0" quotePrefix="0" xfId="0">
      <alignment horizontal="right" vertical="center"/>
    </xf>
    <xf numFmtId="0" fontId="18" fillId="0" borderId="8" applyAlignment="1" pivotButton="0" quotePrefix="0" xfId="0">
      <alignment vertical="center" wrapText="1"/>
    </xf>
    <xf numFmtId="0" fontId="13" fillId="0" borderId="8" applyAlignment="1" pivotButton="0" quotePrefix="0" xfId="0">
      <alignment vertical="center"/>
    </xf>
    <xf numFmtId="0" fontId="18" fillId="0" borderId="9" applyAlignment="1" pivotButton="0" quotePrefix="0" xfId="0">
      <alignment vertical="center" wrapText="1"/>
    </xf>
    <xf numFmtId="164" fontId="18" fillId="0" borderId="10" applyAlignment="1" pivotButton="0" quotePrefix="0" xfId="0">
      <alignment vertical="center" wrapText="1"/>
    </xf>
    <xf numFmtId="0" fontId="18" fillId="0" borderId="10" applyAlignment="1" pivotButton="0" quotePrefix="0" xfId="0">
      <alignment vertical="center" wrapText="1"/>
    </xf>
    <xf numFmtId="164" fontId="46" fillId="0" borderId="10" applyAlignment="1" pivotButton="0" quotePrefix="0" xfId="0">
      <alignment vertical="center" wrapText="1"/>
    </xf>
    <xf numFmtId="0" fontId="46" fillId="0" borderId="10" applyAlignment="1" pivotButton="0" quotePrefix="0" xfId="0">
      <alignment vertical="center" wrapText="1"/>
    </xf>
    <xf numFmtId="164" fontId="40" fillId="0" borderId="10" applyAlignment="1" pivotButton="0" quotePrefix="0" xfId="0">
      <alignment vertical="center" wrapText="1"/>
    </xf>
    <xf numFmtId="0" fontId="18" fillId="0" borderId="11" applyAlignment="1" pivotButton="0" quotePrefix="0" xfId="0">
      <alignment vertical="center" wrapText="1"/>
    </xf>
    <xf numFmtId="164" fontId="18" fillId="0" borderId="11" applyAlignment="1" pivotButton="0" quotePrefix="0" xfId="0">
      <alignment vertical="center" wrapText="1"/>
    </xf>
    <xf numFmtId="0" fontId="23" fillId="0" borderId="10" applyAlignment="1" pivotButton="0" quotePrefix="0" xfId="0">
      <alignment vertical="center" wrapText="1"/>
    </xf>
    <xf numFmtId="0" fontId="28" fillId="0" borderId="10" applyAlignment="1" pivotButton="0" quotePrefix="0" xfId="0">
      <alignment vertical="center" wrapText="1"/>
    </xf>
    <xf numFmtId="0" fontId="28" fillId="2" borderId="8" applyAlignment="1" pivotButton="0" quotePrefix="0" xfId="0">
      <alignment vertical="center" wrapText="1"/>
    </xf>
    <xf numFmtId="0" fontId="49" fillId="0" borderId="10" applyAlignment="1" pivotButton="0" quotePrefix="0" xfId="0">
      <alignment vertical="center" wrapText="1"/>
    </xf>
    <xf numFmtId="0" fontId="18" fillId="0" borderId="11" applyAlignment="1" pivotButton="0" quotePrefix="0" xfId="0">
      <alignment horizontal="left" vertical="center" wrapText="1"/>
    </xf>
    <xf numFmtId="164" fontId="18" fillId="2" borderId="10" applyAlignment="1" pivotButton="0" quotePrefix="0" xfId="0">
      <alignment vertical="center" wrapText="1"/>
    </xf>
    <xf numFmtId="0" fontId="18" fillId="2" borderId="10" applyAlignment="1" pivotButton="0" quotePrefix="0" xfId="0">
      <alignment vertical="center" wrapText="1"/>
    </xf>
    <xf numFmtId="49" fontId="18" fillId="2" borderId="10" applyAlignment="1" pivotButton="0" quotePrefix="0" xfId="0">
      <alignment vertical="center" wrapText="1"/>
    </xf>
    <xf numFmtId="0" fontId="18" fillId="2" borderId="11" applyAlignment="1" pivotButton="0" quotePrefix="0" xfId="0">
      <alignment vertical="center" wrapText="1"/>
    </xf>
    <xf numFmtId="164" fontId="18" fillId="0" borderId="10" applyAlignment="1" pivotButton="0" quotePrefix="0" xfId="0">
      <alignment horizontal="left" vertical="center" wrapText="1"/>
    </xf>
    <xf numFmtId="0" fontId="18" fillId="0" borderId="10" applyAlignment="1" pivotButton="0" quotePrefix="0" xfId="0">
      <alignment horizontal="left" vertical="center" wrapText="1"/>
    </xf>
    <xf numFmtId="0" fontId="18" fillId="0" borderId="8" applyAlignment="1" pivotButton="0" quotePrefix="0" xfId="0">
      <alignment horizontal="left" vertical="center" wrapText="1"/>
    </xf>
    <xf numFmtId="0" fontId="13" fillId="0" borderId="10" applyAlignment="1" pivotButton="0" quotePrefix="0" xfId="0">
      <alignment horizontal="center" vertical="center" wrapText="1"/>
    </xf>
    <xf numFmtId="0" fontId="18" fillId="0" borderId="10" applyAlignment="1" pivotButton="0" quotePrefix="0" xfId="0">
      <alignment horizontal="center" vertical="center" wrapText="1"/>
    </xf>
    <xf numFmtId="0" fontId="18" fillId="0" borderId="10" applyAlignment="1" pivotButton="0" quotePrefix="0" xfId="0">
      <alignment vertical="top" wrapText="1"/>
    </xf>
    <xf numFmtId="0" fontId="58" fillId="0" borderId="6" applyAlignment="1" pivotButton="0" quotePrefix="0" xfId="0">
      <alignment vertical="center" wrapText="1"/>
    </xf>
    <xf numFmtId="164" fontId="18" fillId="2" borderId="11" applyAlignment="1" pivotButton="0" quotePrefix="0" xfId="4">
      <alignment horizontal="left" vertical="center" wrapText="1"/>
    </xf>
    <xf numFmtId="164" fontId="18" fillId="2" borderId="9" applyAlignment="1" pivotButton="0" quotePrefix="0" xfId="4">
      <alignment horizontal="left" vertical="center" wrapText="1"/>
    </xf>
    <xf numFmtId="0" fontId="11" fillId="3" borderId="0" applyAlignment="1" pivotButton="0" quotePrefix="0" xfId="0">
      <alignment horizontal="center" vertical="center"/>
    </xf>
    <xf numFmtId="0" fontId="18" fillId="0" borderId="10" applyAlignment="1" pivotButton="0" quotePrefix="0" xfId="0">
      <alignment horizontal="left" vertical="center" wrapText="1"/>
    </xf>
    <xf numFmtId="0" fontId="18" fillId="0" borderId="10" applyAlignment="1" pivotButton="0" quotePrefix="0" xfId="0">
      <alignment horizontal="left" vertical="center"/>
    </xf>
    <xf numFmtId="0" fontId="10" fillId="5" borderId="3" applyAlignment="1" pivotButton="0" quotePrefix="0" xfId="0">
      <alignment horizontal="center" vertical="center" wrapText="1"/>
    </xf>
    <xf numFmtId="0" fontId="10" fillId="5" borderId="4" applyAlignment="1" pivotButton="0" quotePrefix="0" xfId="0">
      <alignment horizontal="center" vertical="center" wrapText="1"/>
    </xf>
    <xf numFmtId="0" fontId="10" fillId="5" borderId="2" applyAlignment="1" pivotButton="0" quotePrefix="0" xfId="0">
      <alignment horizontal="center" vertical="center" wrapText="1"/>
    </xf>
    <xf numFmtId="0" fontId="11" fillId="3" borderId="3" applyAlignment="1" pivotButton="0" quotePrefix="0" xfId="0">
      <alignment horizontal="center" vertical="center" wrapText="1"/>
    </xf>
    <xf numFmtId="0" fontId="11" fillId="3" borderId="4" applyAlignment="1" pivotButton="0" quotePrefix="0" xfId="0">
      <alignment horizontal="center" vertical="center" wrapText="1"/>
    </xf>
    <xf numFmtId="0" fontId="11" fillId="3" borderId="2" applyAlignment="1" pivotButton="0" quotePrefix="0" xfId="0">
      <alignment horizontal="center" vertical="center" wrapText="1"/>
    </xf>
    <xf numFmtId="0" fontId="10" fillId="4" borderId="3" applyAlignment="1" pivotButton="0" quotePrefix="0" xfId="0">
      <alignment horizontal="center" vertical="center" wrapText="1"/>
    </xf>
    <xf numFmtId="0" fontId="10" fillId="4" borderId="4" applyAlignment="1" pivotButton="0" quotePrefix="0" xfId="0">
      <alignment horizontal="center" vertical="center" wrapText="1"/>
    </xf>
    <xf numFmtId="0" fontId="10" fillId="4" borderId="2" applyAlignment="1" pivotButton="0" quotePrefix="0" xfId="0">
      <alignment horizontal="center" vertical="center" wrapText="1"/>
    </xf>
    <xf numFmtId="0" fontId="10" fillId="6" borderId="3" applyAlignment="1" pivotButton="0" quotePrefix="0" xfId="0">
      <alignment horizontal="center" vertical="center" wrapText="1"/>
    </xf>
    <xf numFmtId="0" fontId="10" fillId="6" borderId="4" applyAlignment="1" pivotButton="0" quotePrefix="0" xfId="0">
      <alignment horizontal="center" vertical="center" wrapText="1"/>
    </xf>
    <xf numFmtId="0" fontId="10" fillId="6" borderId="2" applyAlignment="1" pivotButton="0" quotePrefix="0" xfId="0">
      <alignment horizontal="center" vertical="center" wrapText="1"/>
    </xf>
    <xf numFmtId="0" fontId="7" fillId="6" borderId="3" applyAlignment="1" pivotButton="0" quotePrefix="0" xfId="0">
      <alignment horizontal="center" vertical="center" wrapText="1"/>
    </xf>
    <xf numFmtId="0" fontId="7" fillId="6" borderId="4" applyAlignment="1" pivotButton="0" quotePrefix="0" xfId="0">
      <alignment horizontal="center" vertical="center" wrapText="1"/>
    </xf>
    <xf numFmtId="0" fontId="18" fillId="0" borderId="11" applyAlignment="1" pivotButton="0" quotePrefix="0" xfId="0">
      <alignment vertical="center" wrapText="1"/>
    </xf>
    <xf numFmtId="0" fontId="18" fillId="0" borderId="9" applyAlignment="1" pivotButton="0" quotePrefix="0" xfId="0">
      <alignment vertical="center" wrapText="1"/>
    </xf>
    <xf numFmtId="0" fontId="9" fillId="0" borderId="1" applyAlignment="1" pivotButton="0" quotePrefix="0" xfId="0">
      <alignment horizontal="left" vertical="center"/>
    </xf>
    <xf numFmtId="0" fontId="9" fillId="0" borderId="1" applyAlignment="1" pivotButton="0" quotePrefix="0" xfId="0">
      <alignment horizontal="left" vertical="center" wrapText="1"/>
    </xf>
    <xf numFmtId="0" fontId="10" fillId="0" borderId="1" applyAlignment="1" pivotButton="0" quotePrefix="0" xfId="0">
      <alignment horizontal="left" vertical="center" wrapText="1"/>
    </xf>
    <xf numFmtId="0" fontId="13" fillId="6" borderId="3" applyAlignment="1" pivotButton="0" quotePrefix="0" xfId="0">
      <alignment horizontal="left" vertical="center" wrapText="1"/>
    </xf>
    <xf numFmtId="0" fontId="13" fillId="6" borderId="4" applyAlignment="1" pivotButton="0" quotePrefix="0" xfId="0">
      <alignment horizontal="left" vertical="center" wrapText="1"/>
    </xf>
    <xf numFmtId="0" fontId="13" fillId="6" borderId="2" applyAlignment="1" pivotButton="0" quotePrefix="0" xfId="0">
      <alignment horizontal="left" vertical="center" wrapText="1"/>
    </xf>
    <xf numFmtId="0" fontId="11" fillId="3" borderId="3" applyAlignment="1" pivotButton="0" quotePrefix="0" xfId="0">
      <alignment horizontal="center" vertical="center"/>
    </xf>
    <xf numFmtId="0" fontId="11" fillId="3" borderId="4" applyAlignment="1" pivotButton="0" quotePrefix="0" xfId="0">
      <alignment horizontal="center" vertical="center"/>
    </xf>
    <xf numFmtId="0" fontId="11" fillId="3" borderId="2" applyAlignment="1" pivotButton="0" quotePrefix="0" xfId="0">
      <alignment horizontal="center" vertical="center"/>
    </xf>
    <xf numFmtId="0" fontId="7" fillId="6" borderId="2" applyAlignment="1" pivotButton="0" quotePrefix="0" xfId="0">
      <alignment horizontal="center" vertical="center" wrapText="1"/>
    </xf>
    <xf numFmtId="0" fontId="7" fillId="4" borderId="3" applyAlignment="1" pivotButton="0" quotePrefix="0" xfId="0">
      <alignment horizontal="center" vertical="center" wrapText="1"/>
    </xf>
    <xf numFmtId="0" fontId="7" fillId="4" borderId="4" applyAlignment="1" pivotButton="0" quotePrefix="0" xfId="0">
      <alignment horizontal="center" vertical="center" wrapText="1"/>
    </xf>
    <xf numFmtId="0" fontId="7" fillId="4" borderId="2" applyAlignment="1" pivotButton="0" quotePrefix="0" xfId="0">
      <alignment horizontal="center" vertical="center" wrapText="1"/>
    </xf>
    <xf numFmtId="0" fontId="0" fillId="0" borderId="4" pivotButton="0" quotePrefix="0" xfId="0"/>
    <xf numFmtId="0" fontId="0" fillId="0" borderId="2" pivotButton="0" quotePrefix="0" xfId="0"/>
    <xf numFmtId="0" fontId="9" fillId="8" borderId="3" applyAlignment="1" pivotButton="0" quotePrefix="0" xfId="0">
      <alignment vertical="center"/>
    </xf>
    <xf numFmtId="0" fontId="11" fillId="3" borderId="1" applyAlignment="1" pivotButton="0" quotePrefix="0" xfId="0">
      <alignment horizontal="center" vertical="center"/>
    </xf>
    <xf numFmtId="164" fontId="9" fillId="9" borderId="1" applyAlignment="1" pivotButton="0" quotePrefix="0" xfId="0">
      <alignment horizontal="left" vertical="center" wrapText="1"/>
    </xf>
    <xf numFmtId="1" fontId="9" fillId="9" borderId="1" applyAlignment="1" pivotButton="0" quotePrefix="0" xfId="0">
      <alignment horizontal="center" vertical="center"/>
    </xf>
    <xf numFmtId="164" fontId="9" fillId="9" borderId="1" applyAlignment="1" pivotButton="0" quotePrefix="0" xfId="0">
      <alignment horizontal="center" vertical="center" wrapText="1"/>
    </xf>
    <xf numFmtId="164" fontId="9" fillId="9" borderId="3" applyAlignment="1" pivotButton="0" quotePrefix="0" xfId="0">
      <alignment horizontal="right" vertical="center"/>
    </xf>
    <xf numFmtId="0" fontId="9" fillId="9" borderId="1" applyAlignment="1" pivotButton="0" quotePrefix="0" xfId="0">
      <alignment horizontal="center" vertical="center" wrapText="1"/>
    </xf>
    <xf numFmtId="164" fontId="9" fillId="8" borderId="1" applyAlignment="1" pivotButton="0" quotePrefix="0" xfId="0">
      <alignment horizontal="center" vertical="center"/>
    </xf>
    <xf numFmtId="1" fontId="9" fillId="8" borderId="1" applyAlignment="1" pivotButton="0" quotePrefix="0" xfId="0">
      <alignment horizontal="center" vertical="center"/>
    </xf>
    <xf numFmtId="164" fontId="9" fillId="8" borderId="3" applyAlignment="1" pivotButton="0" quotePrefix="0" xfId="0">
      <alignment horizontal="right" vertical="center"/>
    </xf>
    <xf numFmtId="0" fontId="7" fillId="6" borderId="1" applyAlignment="1" pivotButton="0" quotePrefix="0" xfId="0">
      <alignment horizontal="center" vertical="center" wrapText="1"/>
    </xf>
    <xf numFmtId="164" fontId="9" fillId="8" borderId="1" applyAlignment="1" pivotButton="0" quotePrefix="0" xfId="0">
      <alignment horizontal="center" vertical="center" wrapText="1"/>
    </xf>
    <xf numFmtId="164" fontId="9" fillId="9" borderId="1" applyAlignment="1" pivotButton="0" quotePrefix="0" xfId="0">
      <alignment horizontal="right" vertical="center" wrapText="1"/>
    </xf>
    <xf numFmtId="164" fontId="9" fillId="8" borderId="1" applyAlignment="1" pivotButton="0" quotePrefix="0" xfId="0">
      <alignment horizontal="right" vertical="center" wrapText="1"/>
    </xf>
    <xf numFmtId="164" fontId="9" fillId="8" borderId="1" applyAlignment="1" pivotButton="0" quotePrefix="0" xfId="0">
      <alignment horizontal="left" vertical="center" wrapText="1"/>
    </xf>
    <xf numFmtId="1" fontId="0" fillId="8" borderId="1" applyAlignment="1" pivotButton="0" quotePrefix="0" xfId="0">
      <alignment horizontal="center" vertical="center"/>
    </xf>
    <xf numFmtId="0" fontId="10" fillId="6" borderId="1" applyAlignment="1" pivotButton="0" quotePrefix="0" xfId="0">
      <alignment horizontal="center" vertical="center" wrapText="1"/>
    </xf>
    <xf numFmtId="0" fontId="13" fillId="6" borderId="1" applyAlignment="1" pivotButton="0" quotePrefix="0" xfId="0">
      <alignment horizontal="left" vertical="center" wrapText="1"/>
    </xf>
    <xf numFmtId="164" fontId="9" fillId="9" borderId="1" applyAlignment="1" pivotButton="0" quotePrefix="1" xfId="0">
      <alignment horizontal="left" vertical="center" wrapText="1"/>
    </xf>
    <xf numFmtId="0" fontId="43" fillId="9" borderId="1" applyAlignment="1" pivotButton="0" quotePrefix="0" xfId="0">
      <alignment horizontal="center" vertical="center" wrapText="1"/>
    </xf>
    <xf numFmtId="164" fontId="9" fillId="9" borderId="3" applyAlignment="1" pivotButton="0" quotePrefix="0" xfId="0">
      <alignment horizontal="right" vertical="center" wrapText="1"/>
    </xf>
    <xf numFmtId="164" fontId="0" fillId="8" borderId="1" applyAlignment="1" pivotButton="0" quotePrefix="0" xfId="0">
      <alignment horizontal="center" vertical="center" wrapText="1"/>
    </xf>
    <xf numFmtId="1" fontId="9" fillId="8" borderId="1" applyAlignment="1" pivotButton="0" quotePrefix="0" xfId="0">
      <alignment horizontal="center" vertical="center" wrapText="1"/>
    </xf>
    <xf numFmtId="0" fontId="42" fillId="8" borderId="1" applyAlignment="1" pivotButton="0" quotePrefix="0" xfId="0">
      <alignment horizontal="center" vertical="center"/>
    </xf>
    <xf numFmtId="164" fontId="9" fillId="8" borderId="3" applyAlignment="1" pivotButton="0" quotePrefix="0" xfId="0">
      <alignment horizontal="right" vertical="center" wrapText="1"/>
    </xf>
    <xf numFmtId="0" fontId="10" fillId="5" borderId="1" applyAlignment="1" pivotButton="0" quotePrefix="0" xfId="0">
      <alignment horizontal="center" vertical="center" wrapText="1"/>
    </xf>
    <xf numFmtId="166" fontId="27" fillId="0" borderId="1" applyAlignment="1" pivotButton="0" quotePrefix="0" xfId="0">
      <alignment horizontal="center" vertical="center"/>
    </xf>
    <xf numFmtId="166" fontId="9" fillId="0" borderId="1" applyAlignment="1" pivotButton="0" quotePrefix="0" xfId="0">
      <alignment horizontal="left" vertical="center" wrapText="1"/>
    </xf>
    <xf numFmtId="0" fontId="0" fillId="0" borderId="9" pivotButton="0" quotePrefix="0" xfId="0"/>
    <xf numFmtId="0" fontId="11" fillId="3" borderId="1" applyAlignment="1" pivotButton="0" quotePrefix="0" xfId="0">
      <alignment horizontal="center" vertical="center" wrapText="1"/>
    </xf>
    <xf numFmtId="0" fontId="10" fillId="4" borderId="1" applyAlignment="1" pivotButton="0" quotePrefix="0" xfId="0">
      <alignment horizontal="center" vertical="center" wrapText="1"/>
    </xf>
    <xf numFmtId="164" fontId="9" fillId="9" borderId="1" applyAlignment="1" pivotButton="0" quotePrefix="0" xfId="0">
      <alignment horizontal="center" vertical="center"/>
    </xf>
    <xf numFmtId="164" fontId="0" fillId="9" borderId="1" applyAlignment="1" pivotButton="0" quotePrefix="0" xfId="0">
      <alignment horizontal="center" vertical="center"/>
    </xf>
    <xf numFmtId="164" fontId="0" fillId="9" borderId="3" applyAlignment="1" pivotButton="0" quotePrefix="0" xfId="0">
      <alignment horizontal="right" vertical="center"/>
    </xf>
    <xf numFmtId="0" fontId="7" fillId="4" borderId="1" applyAlignment="1" pivotButton="0" quotePrefix="0" xfId="0">
      <alignment horizontal="center" vertical="center" wrapText="1"/>
    </xf>
    <xf numFmtId="165" fontId="9" fillId="0" borderId="1" applyAlignment="1" pivotButton="0" quotePrefix="0" xfId="0">
      <alignment horizontal="left" vertical="center" wrapText="1"/>
    </xf>
    <xf numFmtId="165" fontId="9" fillId="0" borderId="1" applyAlignment="1" pivotButton="0" quotePrefix="0" xfId="0">
      <alignment horizontal="center" vertical="center" wrapText="1"/>
    </xf>
    <xf numFmtId="165" fontId="9" fillId="2" borderId="1" applyAlignment="1" pivotButton="0" quotePrefix="0" xfId="0">
      <alignment horizontal="center" vertical="center" wrapText="1"/>
    </xf>
    <xf numFmtId="164" fontId="18" fillId="2" borderId="10" applyAlignment="1" pivotButton="0" quotePrefix="0" xfId="4">
      <alignment horizontal="left" vertical="center" wrapText="1"/>
    </xf>
    <xf numFmtId="165" fontId="0" fillId="0" borderId="1" applyAlignment="1" pivotButton="0" quotePrefix="0" xfId="0">
      <alignment horizontal="center" vertical="center" wrapText="1"/>
    </xf>
  </cellXfs>
  <cellStyles count="45">
    <cellStyle name="Normal" xfId="0" builtinId="0"/>
    <cellStyle name="Normal 2" xfId="1"/>
    <cellStyle name="Monétaire 2" xfId="2"/>
    <cellStyle name="Normal 3" xfId="3"/>
    <cellStyle name="Monétaire" xfId="4" builtinId="4"/>
    <cellStyle name="Euro" xfId="5"/>
    <cellStyle name="Monétaire 2 2" xfId="6"/>
    <cellStyle name="Normal 2 2" xfId="7"/>
    <cellStyle name="Monétaire 2 3" xfId="8"/>
    <cellStyle name="Monétaire 3" xfId="9"/>
    <cellStyle name="Monétaire 2 2 2" xfId="10"/>
    <cellStyle name="Monétaire 2 4" xfId="11"/>
    <cellStyle name="Monétaire 4" xfId="12"/>
    <cellStyle name="Monétaire 2 2 3" xfId="13"/>
    <cellStyle name="Monétaire 2 5" xfId="14"/>
    <cellStyle name="Currency 2" xfId="15"/>
    <cellStyle name="Monétaire 2 2 4" xfId="16"/>
    <cellStyle name="Monétaire 2 3 2" xfId="17"/>
    <cellStyle name="Monétaire 3 2" xfId="18"/>
    <cellStyle name="Monétaire 2 2 2 2" xfId="19"/>
    <cellStyle name="Monétaire 2 4 2" xfId="20"/>
    <cellStyle name="Monétaire 4 2" xfId="21"/>
    <cellStyle name="Monétaire 2 2 3 2" xfId="22"/>
    <cellStyle name="Monétaire 5" xfId="23"/>
    <cellStyle name="Normal 2 3" xfId="24"/>
    <cellStyle name="Monétaire 2 6" xfId="25"/>
    <cellStyle name="Monétaire 6" xfId="26"/>
    <cellStyle name="Monétaire 2 2 5" xfId="27"/>
    <cellStyle name="Normal 2 2 2" xfId="28"/>
    <cellStyle name="Monétaire 2 3 3" xfId="29"/>
    <cellStyle name="Monétaire 3 3" xfId="30"/>
    <cellStyle name="Monétaire 2 2 2 3" xfId="31"/>
    <cellStyle name="Monétaire 2 4 3" xfId="32"/>
    <cellStyle name="Monétaire 4 3" xfId="33"/>
    <cellStyle name="Monétaire 2 2 3 3" xfId="34"/>
    <cellStyle name="Monétaire 2 5 2" xfId="35"/>
    <cellStyle name="Currency 2 2" xfId="36"/>
    <cellStyle name="Monétaire 2 2 4 2" xfId="37"/>
    <cellStyle name="Monétaire 2 3 2 2" xfId="38"/>
    <cellStyle name="Monétaire 3 2 2" xfId="39"/>
    <cellStyle name="Monétaire 2 2 2 2 2" xfId="40"/>
    <cellStyle name="Monétaire 2 4 2 2" xfId="41"/>
    <cellStyle name="Monétaire 4 2 2" xfId="42"/>
    <cellStyle name="Monétaire 2 2 3 2 2" xfId="43"/>
    <cellStyle name="Monétaire 5 2" xfId="44"/>
  </cellStyle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externalLink" Target="/xl/externalLinks/externalLink1.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externalLinks/_rels/externalLink1.xml.rels><Relationships xmlns="http://schemas.openxmlformats.org/package/2006/relationships"><Relationship Type="http://schemas.openxmlformats.org/officeDocument/2006/relationships/externalLinkPath" Target="file:///\\7E8994AE\04%20-%20Grille_Contrat_Unique.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Feuil1"/>
      <sheetName val="Liste1"/>
    </sheetNames>
    <sheetDataSet>
      <sheetData sheetId="0">
        <row r="1">
          <cell r="A1" t="str">
            <v>Par visite</v>
          </cell>
        </row>
      </sheetData>
      <sheetData sheetId="1">
        <row r="1">
          <cell r="A1" t="str">
            <v>Par visite</v>
          </cell>
        </row>
        <row r="2">
          <cell r="A2" t="str">
            <v>Par centre</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Feuil1">
    <tabColor rgb="FF00B050"/>
    <outlinePr summaryBelow="1" summaryRight="1"/>
    <pageSetUpPr/>
  </sheetPr>
  <dimension ref="A1:EY295"/>
  <sheetViews>
    <sheetView tabSelected="1" topLeftCell="A37" zoomScaleNormal="100" workbookViewId="0">
      <selection activeCell="F39" sqref="F39"/>
    </sheetView>
  </sheetViews>
  <sheetFormatPr baseColWidth="10" defaultColWidth="10.7109375" defaultRowHeight="15"/>
  <cols>
    <col width="52.85546875" customWidth="1" style="1" min="1" max="1"/>
    <col width="26.140625" customWidth="1" style="3" min="2" max="2"/>
    <col width="19.42578125" bestFit="1" customWidth="1" style="3" min="3" max="3"/>
    <col width="23.42578125" customWidth="1" style="82" min="4" max="4"/>
    <col width="17.5703125" customWidth="1" style="29" min="5" max="5"/>
    <col width="15.85546875" customWidth="1" style="16" min="6" max="6"/>
    <col width="16.7109375" customWidth="1" style="42" min="7" max="7"/>
    <col width="84.5703125" customWidth="1" style="135" min="8" max="8"/>
    <col width="10.7109375" customWidth="1" style="1" min="9" max="16384"/>
  </cols>
  <sheetData>
    <row r="1" ht="19.5" customFormat="1" customHeight="1" s="2" thickBot="1">
      <c r="A1" s="163" t="inlineStr">
        <is>
          <t>Matrice de calcul des coûts et surcoûts engagés pour la réalisation de la recherche à finalité commerciale</t>
        </is>
      </c>
      <c r="H1" s="160" t="inlineStr">
        <is>
          <t>Mode opératoire version septembre 2024</t>
        </is>
      </c>
    </row>
    <row r="2">
      <c r="H2" s="135" t="inlineStr">
        <is>
          <t>L'essai clinique, ainsi que l'investigation clinique, seront ci-après dénommés « recherche ».</t>
        </is>
      </c>
    </row>
    <row r="3">
      <c r="A3" s="67" t="inlineStr">
        <is>
          <t>Entreprise promoteur</t>
        </is>
      </c>
      <c r="B3" s="182" t="n"/>
      <c r="C3" s="195" t="n"/>
      <c r="D3" s="195" t="n"/>
      <c r="E3" s="195" t="n"/>
      <c r="F3" s="195" t="n"/>
      <c r="G3" s="196" t="n"/>
    </row>
    <row r="4">
      <c r="A4" s="67" t="inlineStr">
        <is>
          <t>CRO (le cas échéant)</t>
        </is>
      </c>
      <c r="B4" s="182" t="n"/>
      <c r="C4" s="195" t="n"/>
      <c r="D4" s="195" t="n"/>
      <c r="E4" s="195" t="n"/>
      <c r="F4" s="195" t="n"/>
      <c r="G4" s="196" t="n"/>
    </row>
    <row r="5">
      <c r="A5" s="67" t="inlineStr">
        <is>
          <t>Recherche n° EudraCt / CTIS EU CTR/ ID-RCB</t>
        </is>
      </c>
      <c r="B5" s="182" t="n"/>
      <c r="C5" s="195" t="n"/>
      <c r="D5" s="195" t="n"/>
      <c r="E5" s="195" t="n"/>
      <c r="F5" s="195" t="n"/>
      <c r="G5" s="196" t="n"/>
    </row>
    <row r="6">
      <c r="A6" s="68" t="inlineStr">
        <is>
          <t>Nom de l'établissement coordinateur ou associé</t>
        </is>
      </c>
      <c r="B6" s="182" t="n"/>
      <c r="C6" s="195" t="n"/>
      <c r="D6" s="195" t="n"/>
      <c r="E6" s="195" t="n"/>
      <c r="F6" s="195" t="n"/>
      <c r="G6" s="196" t="n"/>
      <c r="H6" s="136" t="n"/>
    </row>
    <row r="7">
      <c r="A7" s="68" t="inlineStr">
        <is>
          <t>N° FINESS</t>
        </is>
      </c>
      <c r="B7" s="183" t="n"/>
      <c r="C7" s="195" t="n"/>
      <c r="D7" s="195" t="n"/>
      <c r="E7" s="195" t="n"/>
      <c r="F7" s="195" t="n"/>
      <c r="G7" s="196" t="n"/>
      <c r="H7" s="136" t="n"/>
    </row>
    <row r="8">
      <c r="A8" s="67" t="inlineStr">
        <is>
          <t>Investigateur</t>
        </is>
      </c>
      <c r="B8" s="182" t="n"/>
      <c r="C8" s="195" t="n"/>
      <c r="D8" s="195" t="n"/>
      <c r="E8" s="195" t="n"/>
      <c r="F8" s="195" t="n"/>
      <c r="G8" s="196" t="n"/>
      <c r="H8" s="136" t="n"/>
    </row>
    <row r="9">
      <c r="A9" s="67" t="inlineStr">
        <is>
          <t>Pôle / Unité</t>
        </is>
      </c>
      <c r="B9" s="182" t="n"/>
      <c r="C9" s="195" t="n"/>
      <c r="D9" s="195" t="n"/>
      <c r="E9" s="195" t="n"/>
      <c r="F9" s="195" t="n"/>
      <c r="G9" s="196" t="n"/>
      <c r="H9" s="136" t="n"/>
    </row>
    <row r="10" ht="25.5" customHeight="1">
      <c r="A10" s="67" t="inlineStr">
        <is>
          <t>Nombre prévisionnel de patients pour le centre:</t>
        </is>
      </c>
      <c r="B10" s="197" t="n">
        <v>10</v>
      </c>
      <c r="C10" s="109" t="n"/>
      <c r="D10" s="109" t="n"/>
      <c r="E10" s="109" t="n"/>
      <c r="F10" s="109" t="n"/>
      <c r="G10" s="109" t="n"/>
      <c r="H10" s="135" t="inlineStr">
        <is>
          <t>Autant de ligne que de bras peuvent être insérées ainsi,  un sous-total pour chaque bras, ainsi qu’une ligne totale finale.</t>
        </is>
      </c>
    </row>
    <row r="11" ht="25.5" customHeight="1">
      <c r="A11" s="67" t="inlineStr">
        <is>
          <t xml:space="preserve">Niveau de complexité de la recherche (cf. annexe 2) : </t>
        </is>
      </c>
      <c r="B11" s="182" t="n"/>
      <c r="C11" s="195" t="n"/>
      <c r="D11" s="195" t="n"/>
      <c r="E11" s="195" t="n"/>
      <c r="F11" s="195" t="n"/>
      <c r="G11" s="196" t="n"/>
    </row>
    <row r="12" ht="30" customHeight="1">
      <c r="A12" s="68" t="inlineStr">
        <is>
          <t>Grille version JJ MM 202X basée sur le protocole :  version 00 du JJ/MM/AAAA</t>
        </is>
      </c>
      <c r="B12" s="182" t="n"/>
      <c r="C12" s="195" t="n"/>
      <c r="D12" s="195" t="n"/>
      <c r="E12" s="195" t="n"/>
      <c r="F12" s="195" t="n"/>
      <c r="G12" s="196" t="n"/>
    </row>
    <row r="13" ht="12.75" customFormat="1" customHeight="1" s="6">
      <c r="A13" s="15" t="n"/>
      <c r="B13" s="18" t="n"/>
      <c r="C13" s="18" t="n"/>
      <c r="D13" s="30" t="n"/>
      <c r="E13" s="31" t="n"/>
      <c r="F13" s="30" t="n"/>
      <c r="G13" s="43" t="n"/>
      <c r="H13" s="135" t="n"/>
    </row>
    <row r="14" ht="89.25" customFormat="1" customHeight="1" s="6">
      <c r="A14" s="184" t="inlineStr">
        <is>
          <t xml:space="preserve">Evaluation faite sur la base de:
</t>
        </is>
      </c>
      <c r="B14" s="195" t="n"/>
      <c r="C14" s="195" t="n"/>
      <c r="D14" s="195" t="n"/>
      <c r="E14" s="195" t="n"/>
      <c r="F14" s="195" t="n"/>
      <c r="G14" s="196" t="n"/>
      <c r="H14" s="135" t="inlineStr">
        <is>
          <t xml:space="preserve">Préciser sur quelle base est faite l’évaluation : lister les bras (si visites différentes entre les bras), toutes les visites prévues ou non prévues au prorata (inclusion, phase de traitement, fin de traitement, suivi, fin d’étude, nombre de cycles) afin que les centres associés identifient ce qui a été pris en compte pour l’évaluation
NB : En oncologie, privilégier la construction de l’annexe 2.1 par cycle - Chaque visite à l’intérieur d’un cycle doit être individualisée afin de prendre en compte ses spécificités. 
En oncologie, prendre comme référence le nombre de cycles correspondant à la survie moyenne                           </t>
        </is>
      </c>
    </row>
    <row r="15" ht="15.75" customHeight="1">
      <c r="A15" s="110" t="inlineStr">
        <is>
          <t>A</t>
        </is>
      </c>
      <c r="B15" s="110" t="inlineStr">
        <is>
          <t>B</t>
        </is>
      </c>
      <c r="C15" s="110" t="inlineStr">
        <is>
          <t>C</t>
        </is>
      </c>
      <c r="D15" s="111" t="inlineStr">
        <is>
          <t>D</t>
        </is>
      </c>
      <c r="E15" s="112" t="inlineStr">
        <is>
          <t>E</t>
        </is>
      </c>
      <c r="F15" s="113" t="inlineStr">
        <is>
          <t>F</t>
        </is>
      </c>
      <c r="G15" s="114" t="inlineStr">
        <is>
          <t>G</t>
        </is>
      </c>
    </row>
    <row r="16" ht="107.25" customHeight="1">
      <c r="A16" s="65" t="inlineStr">
        <is>
          <t>Désignation des actes et prestations réalisés :</t>
        </is>
      </c>
      <c r="B16" s="86" t="inlineStr">
        <is>
          <t xml:space="preserve">Limite d'occurrence </t>
        </is>
      </c>
      <c r="C16" s="86" t="inlineStr">
        <is>
          <t>Coût ou surcoût</t>
        </is>
      </c>
      <c r="D16" s="87" t="inlineStr">
        <is>
          <t>Montant unitaire Coût ou surcoût 
€ (Hors Taxe)
(ajouter 40% pour tous les ultramarins) pour les recherches autorisées à partir de 2024</t>
        </is>
      </c>
      <c r="E16" s="88" t="inlineStr">
        <is>
          <t>Nombre d'items par patient ou pour le centre</t>
        </is>
      </c>
      <c r="F16" s="87" t="inlineStr">
        <is>
          <t>Total des frais pour un patient ou pour le centre 
€ (H.T.)</t>
        </is>
      </c>
      <c r="G16" s="115" t="inlineStr">
        <is>
          <t>Total pour le nombre des patients du centre ou pour le centre
€ (H.T.)</t>
        </is>
      </c>
    </row>
    <row r="17" ht="29.25" customHeight="1">
      <c r="A17" s="198" t="inlineStr">
        <is>
          <t>FORFAITS</t>
        </is>
      </c>
      <c r="B17" s="195" t="n"/>
      <c r="C17" s="195" t="n"/>
      <c r="D17" s="195" t="n"/>
      <c r="E17" s="195" t="n"/>
      <c r="F17" s="196" t="n"/>
      <c r="G17" s="116" t="n"/>
    </row>
    <row r="18" ht="20.25" customHeight="1">
      <c r="A18" s="178" t="inlineStr">
        <is>
          <t xml:space="preserve">Forfait frais fixes administratifs </t>
        </is>
      </c>
      <c r="B18" s="195" t="n"/>
      <c r="C18" s="195" t="n"/>
      <c r="D18" s="195" t="n"/>
      <c r="E18" s="195" t="n"/>
      <c r="F18" s="195" t="n"/>
      <c r="G18" s="178" t="n"/>
      <c r="H18" s="181" t="n"/>
    </row>
    <row r="19" ht="126.75" customFormat="1" customHeight="1" s="5">
      <c r="A19" s="89" t="inlineStr">
        <is>
          <t>Frais administratifs
Enregistrement de la recherche, procédure d'élaboration de la convention et de la matrice, suivi financier et administratif de la convention, y compris des avenants. 
Forfait appliqué par centre d'investigation et non pas par établissement, si plusieurs centres d'investigation dans l'établissement, plusieurs forfaits sont facturés.
Facturé dès la signature de la convention, même si la décision d'annulation avant le démarrage est imputable au promoteur (si la matrice a déjà été élaborée).</t>
        </is>
      </c>
      <c r="B19" s="22" t="inlineStr">
        <is>
          <t>Par établissement</t>
        </is>
      </c>
      <c r="C19" s="7" t="inlineStr">
        <is>
          <t xml:space="preserve">coût </t>
        </is>
      </c>
      <c r="D19" s="199" t="inlineStr">
        <is>
          <t>Coordonnateur : 561,8€
Associé : 224,72€</t>
        </is>
      </c>
      <c r="E19" s="200" t="n">
        <v>1</v>
      </c>
      <c r="F19" s="201" t="n">
        <v>561.8</v>
      </c>
      <c r="G19" s="202" t="n">
        <v>561.8</v>
      </c>
      <c r="H19" s="138" t="inlineStr">
        <is>
          <t xml:space="preserve">Ne garder dans la colonne D que le montant adéquat
Coordonnateur : 561,8€
Associé : 224,72€
</t>
        </is>
      </c>
    </row>
    <row r="20" ht="76.5" customFormat="1" customHeight="1" s="5">
      <c r="A20" s="183" t="inlineStr">
        <is>
          <t>Frais supplémentaires pour l'élaboration d'un avenant
UNIQUEMENT si la modification substantielle de la matrice est liée à une modification radicale du protocole.</t>
        </is>
      </c>
      <c r="B20" s="22" t="inlineStr">
        <is>
          <t xml:space="preserve">Par établissement
</t>
        </is>
      </c>
      <c r="C20" s="7" t="inlineStr">
        <is>
          <t>coût</t>
        </is>
      </c>
      <c r="D20" s="199" t="inlineStr">
        <is>
          <t>Coordonnateur : 112,36€
Associé :56,18€</t>
        </is>
      </c>
      <c r="E20" s="200" t="n">
        <v>3</v>
      </c>
      <c r="F20" s="201" t="n">
        <v>337.08</v>
      </c>
      <c r="G20" s="202" t="n">
        <v>337.08</v>
      </c>
      <c r="H20" s="138" t="inlineStr">
        <is>
          <t xml:space="preserve">Ne garder dans la colonne D que le montant adéquat
Coordonnateur : 112,36€
Associé :56,18€                                                                                                                                                                                                                                                              A comptabiliser pour les avenants en lien avec une modification substantielle qui impose un changement de la grille.
</t>
        </is>
      </c>
    </row>
    <row r="21" ht="87" customFormat="1" customHeight="1" s="5">
      <c r="A21" s="183" t="inlineStr">
        <is>
          <t>Mise en place de la recherche
Présélection du centre, prise de connaissance du protocole et de ses exigences, études de faisabilité, contribution à l'élaboration de la matrice, réponse à des questionnaires pour vérifier la maitrise des BPC, réunion de mise en place. Forfait facturé même si aucun patient inclus, facturé dès la signature de la convention.</t>
        </is>
      </c>
      <c r="B21" s="22" t="n">
        <v>1</v>
      </c>
      <c r="C21" s="7" t="inlineStr">
        <is>
          <t>coût</t>
        </is>
      </c>
      <c r="D21" s="199" t="inlineStr">
        <is>
          <t>niveau 1 ou extension: 337,08€
niveau 2: 505,62€
niveau 3: 674,16€</t>
        </is>
      </c>
      <c r="E21" s="200" t="n">
        <v>1</v>
      </c>
      <c r="F21" s="201" t="n">
        <v>505.62</v>
      </c>
      <c r="G21" s="202" t="n">
        <v>505.62</v>
      </c>
      <c r="H21" s="139" t="inlineStr">
        <is>
          <t>Ne garder dans la colonne D que le montant adéquat
recherche de niveau 1 ou extension: 337,08€
recherche de niveau 2: 505,62€
recherche de niveau 3: 674,16€</t>
        </is>
      </c>
    </row>
    <row r="22" ht="24.75" customHeight="1">
      <c r="A22" s="178" t="inlineStr">
        <is>
          <t>Forfaits logistiques</t>
        </is>
      </c>
      <c r="B22" s="195" t="n"/>
      <c r="C22" s="195" t="n"/>
      <c r="D22" s="195" t="n"/>
      <c r="E22" s="195" t="n"/>
      <c r="F22" s="195" t="n"/>
      <c r="G22" s="118" t="n"/>
      <c r="H22" s="139" t="n"/>
      <c r="I22" s="5" t="n"/>
      <c r="J22" s="5" t="n"/>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c r="AX22" s="5" t="n"/>
      <c r="AY22" s="5" t="n"/>
      <c r="AZ22" s="5" t="n"/>
      <c r="BA22" s="5" t="n"/>
      <c r="BB22" s="5" t="n"/>
      <c r="BC22" s="5" t="n"/>
      <c r="BD22" s="5" t="n"/>
      <c r="BE22" s="5" t="n"/>
      <c r="BF22" s="5" t="n"/>
      <c r="BG22" s="5" t="n"/>
      <c r="BH22" s="5" t="n"/>
      <c r="BI22" s="5" t="n"/>
      <c r="BJ22" s="5" t="n"/>
      <c r="BK22" s="5" t="n"/>
      <c r="BL22" s="5" t="n"/>
      <c r="BM22" s="5" t="n"/>
      <c r="BN22" s="5" t="n"/>
      <c r="BO22" s="5" t="n"/>
      <c r="BP22" s="5" t="n"/>
      <c r="BQ22" s="5" t="n"/>
      <c r="BR22" s="5" t="n"/>
      <c r="BS22" s="5" t="n"/>
      <c r="BT22" s="5" t="n"/>
      <c r="BU22" s="5" t="n"/>
      <c r="BV22" s="5" t="n"/>
      <c r="BW22" s="5" t="n"/>
      <c r="BX22" s="5" t="n"/>
      <c r="BY22" s="5" t="n"/>
      <c r="BZ22" s="5" t="n"/>
      <c r="CA22" s="5" t="n"/>
      <c r="CB22" s="5" t="n"/>
      <c r="CC22" s="5" t="n"/>
      <c r="CD22" s="5" t="n"/>
      <c r="CE22" s="5" t="n"/>
      <c r="CF22" s="5" t="n"/>
      <c r="CG22" s="5" t="n"/>
      <c r="CH22" s="5" t="n"/>
      <c r="CI22" s="5" t="n"/>
      <c r="CJ22" s="5" t="n"/>
      <c r="CK22" s="5" t="n"/>
      <c r="CL22" s="5" t="n"/>
      <c r="CM22" s="5" t="n"/>
      <c r="CN22" s="5" t="n"/>
      <c r="CO22" s="5" t="n"/>
      <c r="CP22" s="5" t="n"/>
      <c r="CQ22" s="5" t="n"/>
      <c r="CR22" s="5" t="n"/>
      <c r="CS22" s="5" t="n"/>
      <c r="CT22" s="5" t="n"/>
      <c r="CU22" s="5" t="n"/>
      <c r="CV22" s="5" t="n"/>
      <c r="CW22" s="5" t="n"/>
      <c r="CX22" s="5" t="n"/>
      <c r="CY22" s="5" t="n"/>
      <c r="CZ22" s="5" t="n"/>
      <c r="DA22" s="5" t="n"/>
      <c r="DB22" s="5" t="n"/>
      <c r="DC22" s="5" t="n"/>
      <c r="DD22" s="5" t="n"/>
      <c r="DE22" s="5" t="n"/>
      <c r="DF22" s="5" t="n"/>
      <c r="DG22" s="5" t="n"/>
      <c r="DH22" s="5" t="n"/>
      <c r="DI22" s="5" t="n"/>
      <c r="DJ22" s="5" t="n"/>
      <c r="DK22" s="5" t="n"/>
      <c r="DL22" s="5" t="n"/>
      <c r="DM22" s="5" t="n"/>
      <c r="DN22" s="5" t="n"/>
      <c r="DO22" s="5" t="n"/>
      <c r="DP22" s="5" t="n"/>
      <c r="DQ22" s="5" t="n"/>
      <c r="DR22" s="5" t="n"/>
      <c r="DS22" s="5" t="n"/>
      <c r="DT22" s="5" t="n"/>
      <c r="DU22" s="5" t="n"/>
      <c r="DV22" s="5" t="n"/>
      <c r="DW22" s="5" t="n"/>
      <c r="DX22" s="5" t="n"/>
      <c r="DY22" s="5" t="n"/>
      <c r="DZ22" s="5" t="n"/>
      <c r="EA22" s="5" t="n"/>
      <c r="EB22" s="5" t="n"/>
      <c r="EC22" s="5" t="n"/>
      <c r="ED22" s="5" t="n"/>
      <c r="EE22" s="5" t="n"/>
      <c r="EF22" s="5" t="n"/>
      <c r="EG22" s="5" t="n"/>
      <c r="EH22" s="5" t="n"/>
      <c r="EI22" s="5" t="n"/>
      <c r="EJ22" s="5" t="n"/>
      <c r="EK22" s="5" t="n"/>
      <c r="EL22" s="5" t="n"/>
      <c r="EM22" s="5" t="n"/>
      <c r="EN22" s="5" t="n"/>
      <c r="EO22" s="5" t="n"/>
      <c r="EP22" s="5" t="n"/>
      <c r="EQ22" s="5" t="n"/>
      <c r="ER22" s="5" t="n"/>
      <c r="ES22" s="5" t="n"/>
      <c r="ET22" s="5" t="n"/>
      <c r="EU22" s="5" t="n"/>
      <c r="EV22" s="5" t="n"/>
      <c r="EW22" s="5" t="n"/>
      <c r="EX22" s="5" t="n"/>
      <c r="EY22" s="5" t="n"/>
    </row>
    <row r="23" ht="150" customFormat="1" customHeight="1" s="5">
      <c r="A23" s="183" t="inlineStr">
        <is>
          <t>Forfait de frais logistique
Téléphone, secrétariat pour prise de RDV, bureautique, petit matériel, frais archivage des documents de l'étude et maintien de l'accès aux données. Participation aux frais de fonctionnement de l'hôpital (locaux, gestion des déchets, stérilisation...), participation à l'amortissement des investissements hospitaliers... (forfait applicable à tous les patients inclus au prorata des screening et des inclusions réalisées, quelque soit le nombre de visites effectuées, y compris si des visites et des actes supplémentaires sont réalisés sur la totalité de la durée de l'étude.
Lister les visites</t>
        </is>
      </c>
      <c r="B23" s="9" t="n">
        <v>10</v>
      </c>
      <c r="C23" s="9" t="inlineStr">
        <is>
          <t xml:space="preserve">coût   </t>
        </is>
      </c>
      <c r="D23" s="199" t="inlineStr">
        <is>
          <t>niveau 1: 2,28€
niveau 2: 3,37€
niveau 3: 4,49€
Ajouter 5€/patient/visite si intervention personnels exterieurs (hors monitoring promoteur, CRO, ARC)</t>
        </is>
      </c>
      <c r="E23" s="200" t="n">
        <v>5</v>
      </c>
      <c r="F23" s="203" t="n">
        <v>16.85</v>
      </c>
      <c r="G23" s="202" t="n">
        <v>168.5</v>
      </c>
      <c r="H23" s="139" t="inlineStr">
        <is>
          <t>Ne garder dans la colonne D que le montant adéquat par visite
Recherche de niveau 1: 2,28€/patient/visite
Recherche de niveau 2: 3,37€/patient/visite
Recherche de niveau 3: 4,49€/patient/visite
Ajouter 5€/visite/patient si intervention personnels exterieurs (hors monitoring promoteur, CRO, ARC).
Concernant les dispositifs médicaux (DM) : dans le cadre d’investigations relatives au suivi clinique après commercialisation (donc avec l’utilisation du produit dans sa destination), seules les visites impliquant une démarche logistique supplémentaire liée à la recherche sont concernées.</t>
        </is>
      </c>
    </row>
    <row r="24" ht="84.75" customFormat="1" customHeight="1" s="5">
      <c r="A24" s="183" t="inlineStr">
        <is>
          <t xml:space="preserve">Forfait maintenance des appareils 
A évaluer au prorata du nombre d'années </t>
        </is>
      </c>
      <c r="B24" s="9" t="n">
        <v>1</v>
      </c>
      <c r="C24" s="9" t="inlineStr">
        <is>
          <t xml:space="preserve">coût </t>
        </is>
      </c>
      <c r="D24" s="204" t="n">
        <v>112.36</v>
      </c>
      <c r="E24" s="205" t="n">
        <v>2</v>
      </c>
      <c r="F24" s="204" t="n">
        <v>224.72</v>
      </c>
      <c r="G24" s="206" t="n">
        <v>224.72</v>
      </c>
      <c r="H24" s="139" t="inlineStr">
        <is>
          <t>Le forfait de maintenance des appareils est applicable par centre et par étude par centre quel que soit le nombre de structures/services et le nombre d'appareils impliqués, uniquement si l'étude impose l'utilisation de matériel calibré, y compris toise, balance; etc (hors imagerie). Les données de calibrage sont disponibles. 
Cette ligne ne prend pas en compte les appareils d'imagerie.</t>
        </is>
      </c>
    </row>
    <row r="25" ht="34.5" customFormat="1" customHeight="1" s="2">
      <c r="A25" s="198" t="inlineStr">
        <is>
          <t>TACHES D'INVESTIGATION</t>
        </is>
      </c>
      <c r="B25" s="195" t="n"/>
      <c r="C25" s="195" t="n"/>
      <c r="D25" s="195" t="n"/>
      <c r="E25" s="195" t="n"/>
      <c r="F25" s="196" t="n"/>
      <c r="G25" s="116" t="n"/>
      <c r="H25" s="139" t="n"/>
      <c r="I25" s="10" t="n"/>
      <c r="J25" s="10" t="n"/>
      <c r="K25" s="10" t="n"/>
      <c r="L25" s="10" t="n"/>
      <c r="M25" s="10" t="n"/>
      <c r="N25" s="10" t="n"/>
      <c r="O25" s="10" t="n"/>
      <c r="P25" s="10" t="n"/>
      <c r="Q25" s="10" t="n"/>
      <c r="R25" s="10" t="n"/>
      <c r="S25" s="10" t="n"/>
      <c r="T25" s="10" t="n"/>
      <c r="U25" s="10" t="n"/>
      <c r="V25" s="10" t="n"/>
      <c r="W25" s="10" t="n"/>
      <c r="X25" s="10" t="n"/>
      <c r="Y25" s="10" t="n"/>
      <c r="Z25" s="10" t="n"/>
      <c r="AA25" s="10" t="n"/>
      <c r="AB25" s="10" t="n"/>
      <c r="AC25" s="10" t="n"/>
      <c r="AD25" s="10" t="n"/>
      <c r="AE25" s="10" t="n"/>
      <c r="AF25" s="10" t="n"/>
      <c r="AG25" s="10" t="n"/>
      <c r="AH25" s="10" t="n"/>
      <c r="AI25" s="10" t="n"/>
      <c r="AJ25" s="10" t="n"/>
      <c r="AK25" s="10" t="n"/>
      <c r="AL25" s="10" t="n"/>
      <c r="AM25" s="10" t="n"/>
      <c r="AN25" s="10" t="n"/>
      <c r="AO25" s="10" t="n"/>
      <c r="AP25" s="10" t="n"/>
      <c r="AQ25" s="10" t="n"/>
      <c r="AR25" s="10" t="n"/>
      <c r="AS25" s="10" t="n"/>
      <c r="AT25" s="10" t="n"/>
      <c r="AU25" s="10" t="n"/>
      <c r="AV25" s="10" t="n"/>
      <c r="AW25" s="10" t="n"/>
      <c r="AX25" s="10" t="n"/>
      <c r="AY25" s="10" t="n"/>
      <c r="AZ25" s="10" t="n"/>
      <c r="BA25" s="10" t="n"/>
      <c r="BB25" s="10" t="n"/>
      <c r="BC25" s="10" t="n"/>
      <c r="BD25" s="10" t="n"/>
      <c r="BE25" s="10" t="n"/>
      <c r="BF25" s="10" t="n"/>
      <c r="BG25" s="10" t="n"/>
      <c r="BH25" s="10" t="n"/>
      <c r="BI25" s="10" t="n"/>
      <c r="BJ25" s="10" t="n"/>
      <c r="BK25" s="10" t="n"/>
      <c r="BL25" s="10" t="n"/>
      <c r="BM25" s="10" t="n"/>
      <c r="BN25" s="10" t="n"/>
      <c r="BO25" s="10" t="n"/>
      <c r="BP25" s="10" t="n"/>
      <c r="BQ25" s="10" t="n"/>
      <c r="BR25" s="10" t="n"/>
      <c r="BS25" s="10" t="n"/>
      <c r="BT25" s="10" t="n"/>
      <c r="BU25" s="10" t="n"/>
      <c r="BV25" s="10" t="n"/>
      <c r="BW25" s="10" t="n"/>
      <c r="BX25" s="10" t="n"/>
      <c r="BY25" s="10" t="n"/>
      <c r="BZ25" s="10" t="n"/>
      <c r="CA25" s="10" t="n"/>
      <c r="CB25" s="10" t="n"/>
      <c r="CC25" s="10" t="n"/>
      <c r="CD25" s="10" t="n"/>
      <c r="CE25" s="10" t="n"/>
      <c r="CF25" s="10" t="n"/>
      <c r="CG25" s="10" t="n"/>
      <c r="CH25" s="10" t="n"/>
      <c r="CI25" s="10" t="n"/>
      <c r="CJ25" s="10" t="n"/>
      <c r="CK25" s="10" t="n"/>
      <c r="CL25" s="10" t="n"/>
      <c r="CM25" s="10" t="n"/>
      <c r="CN25" s="10" t="n"/>
      <c r="CO25" s="10" t="n"/>
      <c r="CP25" s="10" t="n"/>
      <c r="CQ25" s="10" t="n"/>
      <c r="CR25" s="10" t="n"/>
      <c r="CS25" s="10" t="n"/>
      <c r="CT25" s="10" t="n"/>
      <c r="CU25" s="10" t="n"/>
      <c r="CV25" s="10" t="n"/>
      <c r="CW25" s="10" t="n"/>
      <c r="CX25" s="10" t="n"/>
      <c r="CY25" s="10" t="n"/>
      <c r="CZ25" s="10" t="n"/>
      <c r="DA25" s="10" t="n"/>
      <c r="DB25" s="10" t="n"/>
      <c r="DC25" s="10" t="n"/>
      <c r="DD25" s="10" t="n"/>
      <c r="DE25" s="10" t="n"/>
      <c r="DF25" s="10" t="n"/>
      <c r="DG25" s="10" t="n"/>
      <c r="DH25" s="10" t="n"/>
      <c r="DI25" s="10" t="n"/>
      <c r="DJ25" s="10" t="n"/>
      <c r="DK25" s="10" t="n"/>
      <c r="DL25" s="10" t="n"/>
      <c r="DM25" s="10" t="n"/>
      <c r="DN25" s="10" t="n"/>
      <c r="DO25" s="10" t="n"/>
      <c r="DP25" s="10" t="n"/>
      <c r="DQ25" s="10" t="n"/>
      <c r="DR25" s="10" t="n"/>
      <c r="DS25" s="10" t="n"/>
      <c r="DT25" s="10" t="n"/>
      <c r="DU25" s="10" t="n"/>
      <c r="DV25" s="10" t="n"/>
      <c r="DW25" s="10" t="n"/>
      <c r="DX25" s="10" t="n"/>
      <c r="DY25" s="10" t="n"/>
      <c r="DZ25" s="10" t="n"/>
      <c r="EA25" s="10" t="n"/>
      <c r="EB25" s="10" t="n"/>
      <c r="EC25" s="10" t="n"/>
      <c r="ED25" s="10" t="n"/>
      <c r="EE25" s="10" t="n"/>
      <c r="EF25" s="10" t="n"/>
      <c r="EG25" s="10" t="n"/>
      <c r="EH25" s="10" t="n"/>
      <c r="EI25" s="10" t="n"/>
      <c r="EJ25" s="10" t="n"/>
      <c r="EK25" s="10" t="n"/>
      <c r="EL25" s="10" t="n"/>
      <c r="EM25" s="10" t="n"/>
      <c r="EN25" s="10" t="n"/>
      <c r="EO25" s="10" t="n"/>
      <c r="EP25" s="10" t="n"/>
      <c r="EQ25" s="10" t="n"/>
      <c r="ER25" s="10" t="n"/>
      <c r="ES25" s="10" t="n"/>
      <c r="ET25" s="10" t="n"/>
      <c r="EU25" s="10" t="n"/>
      <c r="EV25" s="10" t="n"/>
      <c r="EW25" s="10" t="n"/>
      <c r="EX25" s="10" t="n"/>
      <c r="EY25" s="10" t="n"/>
    </row>
    <row r="26" ht="28.5" customHeight="1">
      <c r="A26" s="207" t="inlineStr">
        <is>
          <t>Estimation du temps médical - 116,4 €/h</t>
        </is>
      </c>
      <c r="B26" s="195" t="n"/>
      <c r="C26" s="195" t="n"/>
      <c r="D26" s="195" t="n"/>
      <c r="E26" s="195" t="n"/>
      <c r="F26" s="196" t="n"/>
      <c r="G26" s="119" t="n"/>
      <c r="H26" s="139" t="n"/>
    </row>
    <row r="27" ht="123" customHeight="1">
      <c r="A27" s="63" t="inlineStr">
        <is>
          <t>Consultation d'inclusion ou visite de pré-sélection
Information du patient par le médecin et recueil du consentement.
Recherche de niveau 1: 1 h 
Recherche de niveau 2 : 1 h 30 
Recherche de niveau 3 : 2 h 
Applicable en cas d'échec à la visite de pré-sélection ou à la visite d'inclusion 
Lister la visite</t>
        </is>
      </c>
      <c r="B27" s="33" t="n">
        <v>2</v>
      </c>
      <c r="C27" s="11" t="inlineStr">
        <is>
          <t>coût</t>
        </is>
      </c>
      <c r="D27" s="199" t="inlineStr">
        <is>
          <t>niveau 1: 116,4 €
niveau 2 : 174,6 € 
niveau 3 : 232,8 €</t>
        </is>
      </c>
      <c r="E27" s="200" t="n">
        <v>1</v>
      </c>
      <c r="F27" s="201" t="n">
        <v>174.6</v>
      </c>
      <c r="G27" s="202" t="n">
        <v>1746</v>
      </c>
      <c r="H27" s="138" t="inlineStr">
        <is>
          <t>Ne garder dans la colonne D que le montant adéquat
Recherche de niveau 1: 1 h 
Recherche de niveau 2 : 1 h + 30 min
Recherche de niveau 3 : 1 h + 1 h       
Ligne pour la visite d'inclusion à dupliquer en cas de visite de pré-sélection.</t>
        </is>
      </c>
    </row>
    <row r="28" ht="66" customFormat="1" customHeight="1" s="52">
      <c r="A28" s="183" t="inlineStr">
        <is>
          <t>Consultation pour Addendum à la note d'information / nouvelle information de sécurité 
30 mn, en cas de révision de la note d'information ou de nouvelle information de sécurité
(si applicable au prorata)</t>
        </is>
      </c>
      <c r="B28" s="33" t="inlineStr">
        <is>
          <t xml:space="preserve">Par consentement/patient
</t>
        </is>
      </c>
      <c r="C28" s="13" t="inlineStr">
        <is>
          <t>coût</t>
        </is>
      </c>
      <c r="D28" s="204" t="n">
        <v>58.2</v>
      </c>
      <c r="E28" s="205" t="n">
        <v>3</v>
      </c>
      <c r="F28" s="208" t="n">
        <v>174.6</v>
      </c>
      <c r="G28" s="206" t="n">
        <v>174.6</v>
      </c>
      <c r="H28" s="140" t="n"/>
    </row>
    <row r="29" ht="30" customFormat="1" customHeight="1" s="52">
      <c r="A29" s="183" t="inlineStr">
        <is>
          <t>Consultation pour consentement éclairé supplémentaire 45 min  (sous étude, grossesse,génétique...)</t>
        </is>
      </c>
      <c r="B29" s="33" t="inlineStr">
        <is>
          <t xml:space="preserve">Par patient
</t>
        </is>
      </c>
      <c r="C29" s="13" t="inlineStr">
        <is>
          <t>coût</t>
        </is>
      </c>
      <c r="D29" s="35" t="n">
        <v>87.3</v>
      </c>
      <c r="E29" s="32" t="n"/>
      <c r="F29" s="11">
        <f>D29*E29</f>
        <v/>
      </c>
      <c r="G29" s="117">
        <f>F29*$B$10</f>
        <v/>
      </c>
      <c r="H29" s="138" t="inlineStr">
        <is>
          <t xml:space="preserve">45 min par consentement supplémentaire 
Si plusieurs consentements il faut dupliquer la ligne pour chaque consentement </t>
        </is>
      </c>
    </row>
    <row r="30" ht="45" customFormat="1" customHeight="1" s="5">
      <c r="A30" s="68" t="inlineStr">
        <is>
          <t>Suivi téléphonique
15min quelque soit le type de recherche.
Lister les visites</t>
        </is>
      </c>
      <c r="B30" s="33" t="inlineStr">
        <is>
          <t>Par patient</t>
        </is>
      </c>
      <c r="C30" s="11" t="inlineStr">
        <is>
          <t>coût</t>
        </is>
      </c>
      <c r="D30" s="35" t="n">
        <v>29.1</v>
      </c>
      <c r="E30" s="32" t="n"/>
      <c r="F30" s="11">
        <f>D30*E30</f>
        <v/>
      </c>
      <c r="G30" s="117">
        <f>F30*$B$10</f>
        <v/>
      </c>
      <c r="H30" s="141" t="n"/>
      <c r="I30" s="1" t="n"/>
      <c r="J30" s="1" t="n"/>
      <c r="K30" s="1" t="n"/>
      <c r="L30" s="1" t="n"/>
      <c r="M30" s="1" t="n"/>
      <c r="N30" s="1" t="n"/>
      <c r="O30" s="1" t="n"/>
      <c r="P30" s="1" t="n"/>
      <c r="Q30" s="1" t="n"/>
      <c r="R30" s="1" t="n"/>
      <c r="S30" s="1" t="n"/>
      <c r="T30" s="1" t="n"/>
      <c r="U30" s="1" t="n"/>
      <c r="V30" s="1" t="n"/>
      <c r="W30" s="1" t="n"/>
      <c r="X30" s="1" t="n"/>
      <c r="Y30" s="1" t="n"/>
      <c r="Z30" s="1" t="n"/>
      <c r="AA30" s="1" t="n"/>
      <c r="AB30" s="1" t="n"/>
      <c r="AC30" s="1" t="n"/>
      <c r="AD30" s="1" t="n"/>
      <c r="AE30" s="1" t="n"/>
      <c r="AF30" s="1" t="n"/>
      <c r="AG30" s="1" t="n"/>
      <c r="AH30" s="1" t="n"/>
      <c r="AI30" s="1" t="n"/>
      <c r="AJ30" s="1" t="n"/>
      <c r="AK30" s="1" t="n"/>
      <c r="AL30" s="1" t="n"/>
      <c r="AM30" s="1" t="n"/>
      <c r="AN30" s="1" t="n"/>
      <c r="AO30" s="1" t="n"/>
      <c r="AP30" s="1" t="n"/>
      <c r="AQ30" s="1" t="n"/>
      <c r="AR30" s="1" t="n"/>
      <c r="AS30" s="1" t="n"/>
      <c r="AT30" s="1" t="n"/>
      <c r="AU30" s="1" t="n"/>
      <c r="AV30" s="1" t="n"/>
      <c r="AW30" s="1" t="n"/>
      <c r="AX30" s="1" t="n"/>
      <c r="AY30" s="1" t="n"/>
      <c r="AZ30" s="1" t="n"/>
      <c r="BA30" s="1" t="n"/>
      <c r="BB30" s="1" t="n"/>
      <c r="BC30" s="1" t="n"/>
      <c r="BD30" s="1" t="n"/>
      <c r="BE30" s="1" t="n"/>
      <c r="BF30" s="1" t="n"/>
      <c r="BG30" s="1" t="n"/>
      <c r="BH30" s="1" t="n"/>
      <c r="BI30" s="1" t="n"/>
      <c r="BJ30" s="1" t="n"/>
      <c r="BK30" s="1" t="n"/>
      <c r="BL30" s="1" t="n"/>
      <c r="BM30" s="1" t="n"/>
      <c r="BN30" s="1" t="n"/>
      <c r="BO30" s="1" t="n"/>
      <c r="BP30" s="1" t="n"/>
      <c r="BQ30" s="1" t="n"/>
      <c r="BR30" s="1" t="n"/>
      <c r="BS30" s="1" t="n"/>
      <c r="BT30" s="1" t="n"/>
      <c r="BU30" s="1" t="n"/>
      <c r="BV30" s="1" t="n"/>
      <c r="BW30" s="1" t="n"/>
      <c r="BX30" s="1" t="n"/>
      <c r="BY30" s="1" t="n"/>
      <c r="BZ30" s="1" t="n"/>
      <c r="CA30" s="1" t="n"/>
      <c r="CB30" s="1" t="n"/>
      <c r="CC30" s="1" t="n"/>
      <c r="CD30" s="1" t="n"/>
      <c r="CE30" s="1" t="n"/>
      <c r="CF30" s="1" t="n"/>
      <c r="CG30" s="1" t="n"/>
      <c r="CH30" s="1" t="n"/>
      <c r="CI30" s="1" t="n"/>
      <c r="CJ30" s="1" t="n"/>
      <c r="CK30" s="1" t="n"/>
      <c r="CL30" s="1" t="n"/>
      <c r="CM30" s="1" t="n"/>
      <c r="CN30" s="1" t="n"/>
      <c r="CO30" s="1" t="n"/>
      <c r="CP30" s="1" t="n"/>
      <c r="CQ30" s="1" t="n"/>
      <c r="CR30" s="1" t="n"/>
      <c r="CS30" s="1" t="n"/>
      <c r="CT30" s="1" t="n"/>
      <c r="CU30" s="1" t="n"/>
      <c r="CV30" s="1" t="n"/>
      <c r="CW30" s="1" t="n"/>
      <c r="CX30" s="1" t="n"/>
      <c r="CY30" s="1" t="n"/>
      <c r="CZ30" s="1" t="n"/>
      <c r="DA30" s="1" t="n"/>
      <c r="DB30" s="1" t="n"/>
      <c r="DC30" s="1" t="n"/>
      <c r="DD30" s="1" t="n"/>
      <c r="DE30" s="1" t="n"/>
      <c r="DF30" s="1" t="n"/>
      <c r="DG30" s="1" t="n"/>
      <c r="DH30" s="1" t="n"/>
      <c r="DI30" s="1" t="n"/>
      <c r="DJ30" s="1" t="n"/>
      <c r="DK30" s="1" t="n"/>
      <c r="DL30" s="1" t="n"/>
      <c r="DM30" s="1" t="n"/>
      <c r="DN30" s="1" t="n"/>
      <c r="DO30" s="1" t="n"/>
      <c r="DP30" s="1" t="n"/>
      <c r="DQ30" s="1" t="n"/>
      <c r="DR30" s="1" t="n"/>
      <c r="DS30" s="1" t="n"/>
      <c r="DT30" s="1" t="n"/>
      <c r="DU30" s="1" t="n"/>
      <c r="DV30" s="1" t="n"/>
      <c r="DW30" s="1" t="n"/>
      <c r="DX30" s="1" t="n"/>
      <c r="DY30" s="1" t="n"/>
      <c r="DZ30" s="1" t="n"/>
      <c r="EA30" s="1" t="n"/>
      <c r="EB30" s="1" t="n"/>
      <c r="EC30" s="1" t="n"/>
      <c r="ED30" s="1" t="n"/>
      <c r="EE30" s="1" t="n"/>
      <c r="EF30" s="1" t="n"/>
      <c r="EG30" s="1" t="n"/>
      <c r="EH30" s="1" t="n"/>
      <c r="EI30" s="1" t="n"/>
      <c r="EJ30" s="1" t="n"/>
      <c r="EK30" s="1" t="n"/>
      <c r="EL30" s="1" t="n"/>
      <c r="EM30" s="1" t="n"/>
      <c r="EN30" s="1" t="n"/>
      <c r="EO30" s="1" t="n"/>
      <c r="EP30" s="1" t="n"/>
      <c r="EQ30" s="1" t="n"/>
      <c r="ER30" s="1" t="n"/>
      <c r="ES30" s="1" t="n"/>
      <c r="ET30" s="1" t="n"/>
      <c r="EU30" s="1" t="n"/>
      <c r="EV30" s="1" t="n"/>
      <c r="EW30" s="1" t="n"/>
      <c r="EX30" s="1" t="n"/>
      <c r="EY30" s="1" t="n"/>
    </row>
    <row r="31" ht="78" customFormat="1" customHeight="1" s="5">
      <c r="A31" s="90" t="inlineStr">
        <is>
          <t>Temps médical
Temps médical en sus de la pratique courante (formation, examen spécifique) et non pris en compte dans les actes réalisés dans le cadre de la recherche.
Par heure, au prorata. 
Lister les visites</t>
        </is>
      </c>
      <c r="B31" s="33" t="inlineStr">
        <is>
          <t>Par patient</t>
        </is>
      </c>
      <c r="C31" s="11" t="inlineStr">
        <is>
          <t>coût</t>
        </is>
      </c>
      <c r="D31" s="35" t="n">
        <v>116.4</v>
      </c>
      <c r="E31" s="32" t="n"/>
      <c r="F31" s="11">
        <f>D31*E31</f>
        <v/>
      </c>
      <c r="G31" s="117">
        <f>F31*$B$10</f>
        <v/>
      </c>
      <c r="H31" s="139" t="inlineStr">
        <is>
          <t>Le ligne de temps médical comptabilise le temps médical relatif au service d'investigation (investigateur ou co-investigateurs).
En cas d’intervention d’autres services que le service d’investigation, ce même temps de formation est applicable à ces services annexes dans section "autres coûts/surcoûts imputables à la recherche.</t>
        </is>
      </c>
      <c r="I31" s="1" t="n"/>
      <c r="J31" s="1" t="n"/>
      <c r="K31" s="1" t="n"/>
      <c r="L31" s="1" t="n"/>
      <c r="M31" s="1" t="n"/>
      <c r="N31" s="1" t="n"/>
      <c r="O31" s="1" t="n"/>
      <c r="P31" s="1" t="n"/>
      <c r="Q31" s="1" t="n"/>
      <c r="R31" s="1" t="n"/>
      <c r="S31" s="1" t="n"/>
      <c r="T31" s="1" t="n"/>
      <c r="U31" s="1" t="n"/>
      <c r="V31" s="1" t="n"/>
      <c r="W31" s="1" t="n"/>
      <c r="X31" s="1" t="n"/>
      <c r="Y31" s="1" t="n"/>
      <c r="Z31" s="1" t="n"/>
      <c r="AA31" s="1" t="n"/>
      <c r="AB31" s="1" t="n"/>
      <c r="AC31" s="1" t="n"/>
      <c r="AD31" s="1" t="n"/>
      <c r="AE31" s="1" t="n"/>
      <c r="AF31" s="1" t="n"/>
      <c r="AG31" s="1" t="n"/>
      <c r="AH31" s="1" t="n"/>
      <c r="AI31" s="1" t="n"/>
      <c r="AJ31" s="1" t="n"/>
      <c r="AK31" s="1" t="n"/>
      <c r="AL31" s="1" t="n"/>
      <c r="AM31" s="1" t="n"/>
      <c r="AN31" s="1" t="n"/>
      <c r="AO31" s="1" t="n"/>
      <c r="AP31" s="1" t="n"/>
      <c r="AQ31" s="1" t="n"/>
      <c r="AR31" s="1" t="n"/>
      <c r="AS31" s="1" t="n"/>
      <c r="AT31" s="1" t="n"/>
      <c r="AU31" s="1" t="n"/>
      <c r="AV31" s="1" t="n"/>
      <c r="AW31" s="1" t="n"/>
      <c r="AX31" s="1" t="n"/>
      <c r="AY31" s="1" t="n"/>
      <c r="AZ31" s="1" t="n"/>
      <c r="BA31" s="1" t="n"/>
      <c r="BB31" s="1" t="n"/>
      <c r="BC31" s="1" t="n"/>
      <c r="BD31" s="1" t="n"/>
      <c r="BE31" s="1" t="n"/>
      <c r="BF31" s="1" t="n"/>
      <c r="BG31" s="1" t="n"/>
      <c r="BH31" s="1" t="n"/>
      <c r="BI31" s="1" t="n"/>
      <c r="BJ31" s="1" t="n"/>
      <c r="BK31" s="1" t="n"/>
      <c r="BL31" s="1" t="n"/>
      <c r="BM31" s="1" t="n"/>
      <c r="BN31" s="1" t="n"/>
      <c r="BO31" s="1" t="n"/>
      <c r="BP31" s="1" t="n"/>
      <c r="BQ31" s="1" t="n"/>
      <c r="BR31" s="1" t="n"/>
      <c r="BS31" s="1" t="n"/>
      <c r="BT31" s="1" t="n"/>
      <c r="BU31" s="1" t="n"/>
      <c r="BV31" s="1" t="n"/>
      <c r="BW31" s="1" t="n"/>
      <c r="BX31" s="1" t="n"/>
      <c r="BY31" s="1" t="n"/>
      <c r="BZ31" s="1" t="n"/>
      <c r="CA31" s="1" t="n"/>
      <c r="CB31" s="1" t="n"/>
      <c r="CC31" s="1" t="n"/>
      <c r="CD31" s="1" t="n"/>
      <c r="CE31" s="1" t="n"/>
      <c r="CF31" s="1" t="n"/>
      <c r="CG31" s="1" t="n"/>
      <c r="CH31" s="1" t="n"/>
      <c r="CI31" s="1" t="n"/>
      <c r="CJ31" s="1" t="n"/>
      <c r="CK31" s="1" t="n"/>
      <c r="CL31" s="1" t="n"/>
      <c r="CM31" s="1" t="n"/>
      <c r="CN31" s="1" t="n"/>
      <c r="CO31" s="1" t="n"/>
      <c r="CP31" s="1" t="n"/>
      <c r="CQ31" s="1" t="n"/>
      <c r="CR31" s="1" t="n"/>
      <c r="CS31" s="1" t="n"/>
      <c r="CT31" s="1" t="n"/>
      <c r="CU31" s="1" t="n"/>
      <c r="CV31" s="1" t="n"/>
      <c r="CW31" s="1" t="n"/>
      <c r="CX31" s="1" t="n"/>
      <c r="CY31" s="1" t="n"/>
      <c r="CZ31" s="1" t="n"/>
      <c r="DA31" s="1" t="n"/>
      <c r="DB31" s="1" t="n"/>
      <c r="DC31" s="1" t="n"/>
      <c r="DD31" s="1" t="n"/>
      <c r="DE31" s="1" t="n"/>
      <c r="DF31" s="1" t="n"/>
      <c r="DG31" s="1" t="n"/>
      <c r="DH31" s="1" t="n"/>
      <c r="DI31" s="1" t="n"/>
      <c r="DJ31" s="1" t="n"/>
      <c r="DK31" s="1" t="n"/>
      <c r="DL31" s="1" t="n"/>
      <c r="DM31" s="1" t="n"/>
      <c r="DN31" s="1" t="n"/>
      <c r="DO31" s="1" t="n"/>
      <c r="DP31" s="1" t="n"/>
      <c r="DQ31" s="1" t="n"/>
      <c r="DR31" s="1" t="n"/>
      <c r="DS31" s="1" t="n"/>
      <c r="DT31" s="1" t="n"/>
      <c r="DU31" s="1" t="n"/>
      <c r="DV31" s="1" t="n"/>
      <c r="DW31" s="1" t="n"/>
      <c r="DX31" s="1" t="n"/>
      <c r="DY31" s="1" t="n"/>
      <c r="DZ31" s="1" t="n"/>
      <c r="EA31" s="1" t="n"/>
      <c r="EB31" s="1" t="n"/>
      <c r="EC31" s="1" t="n"/>
      <c r="ED31" s="1" t="n"/>
      <c r="EE31" s="1" t="n"/>
      <c r="EF31" s="1" t="n"/>
      <c r="EG31" s="1" t="n"/>
      <c r="EH31" s="1" t="n"/>
      <c r="EI31" s="1" t="n"/>
      <c r="EJ31" s="1" t="n"/>
      <c r="EK31" s="1" t="n"/>
      <c r="EL31" s="1" t="n"/>
      <c r="EM31" s="1" t="n"/>
      <c r="EN31" s="1" t="n"/>
      <c r="EO31" s="1" t="n"/>
      <c r="EP31" s="1" t="n"/>
      <c r="EQ31" s="1" t="n"/>
      <c r="ER31" s="1" t="n"/>
      <c r="ES31" s="1" t="n"/>
      <c r="ET31" s="1" t="n"/>
      <c r="EU31" s="1" t="n"/>
      <c r="EV31" s="1" t="n"/>
      <c r="EW31" s="1" t="n"/>
      <c r="EX31" s="1" t="n"/>
      <c r="EY31" s="1" t="n"/>
    </row>
    <row r="32" ht="27" customFormat="1" customHeight="1" s="52">
      <c r="A32" s="183" t="inlineStr">
        <is>
          <t>Temps Medical
Prise de connaisance de l'amendement au protocole 30 mn</t>
        </is>
      </c>
      <c r="B32" s="33" t="inlineStr">
        <is>
          <t xml:space="preserve">Par amendement </t>
        </is>
      </c>
      <c r="C32" s="13" t="inlineStr">
        <is>
          <t>coût</t>
        </is>
      </c>
      <c r="D32" s="35" t="n">
        <v>58.2</v>
      </c>
      <c r="E32" s="32" t="n"/>
      <c r="F32" s="11">
        <f>D32*E32</f>
        <v/>
      </c>
      <c r="G32" s="117">
        <f>F32*$B$10</f>
        <v/>
      </c>
      <c r="H32" s="142" t="n"/>
    </row>
    <row r="33" ht="63" customFormat="1" customHeight="1" s="5">
      <c r="A33" s="63" t="inlineStr">
        <is>
          <t xml:space="preserve">Audit promoteur hors pharmacie  (si &lt;1 jour)
De la préparation à la mise en œuvre des actions correctives (hors pharmacie. Tarification sépcifique pour les recherches sur les DM).
</t>
        </is>
      </c>
      <c r="B33" s="9" t="inlineStr">
        <is>
          <t>Par centre</t>
        </is>
      </c>
      <c r="C33" s="9" t="inlineStr">
        <is>
          <t>coût</t>
        </is>
      </c>
      <c r="D33" s="11" t="n">
        <v>337.08</v>
      </c>
      <c r="E33" s="32" t="n"/>
      <c r="F33" s="11">
        <f>D33*E33</f>
        <v/>
      </c>
      <c r="G33" s="117">
        <f>F33</f>
        <v/>
      </c>
      <c r="H33" s="139" t="inlineStr">
        <is>
          <t>Concernant les  DM, ventiler le coût de l'audit : 30% pour la pharmacie et 70% pour le 'hors pharmacie'.</t>
        </is>
      </c>
      <c r="I33" s="1" t="n"/>
      <c r="J33" s="1" t="n"/>
      <c r="K33" s="1" t="n"/>
      <c r="L33" s="1" t="n"/>
      <c r="M33" s="1" t="n"/>
      <c r="N33" s="1" t="n"/>
      <c r="O33" s="1" t="n"/>
      <c r="P33" s="1" t="n"/>
      <c r="Q33" s="1" t="n"/>
      <c r="R33" s="1" t="n"/>
      <c r="S33" s="1" t="n"/>
      <c r="T33" s="1" t="n"/>
      <c r="U33" s="1" t="n"/>
      <c r="V33" s="1" t="n"/>
      <c r="W33" s="1" t="n"/>
      <c r="X33" s="1" t="n"/>
      <c r="Y33" s="1" t="n"/>
      <c r="Z33" s="1" t="n"/>
      <c r="AA33" s="1" t="n"/>
      <c r="AB33" s="1" t="n"/>
      <c r="AC33" s="1" t="n"/>
      <c r="AD33" s="1" t="n"/>
      <c r="AE33" s="1" t="n"/>
      <c r="AF33" s="1" t="n"/>
      <c r="AG33" s="1" t="n"/>
      <c r="AH33" s="1" t="n"/>
      <c r="AI33" s="1" t="n"/>
      <c r="AJ33" s="1" t="n"/>
      <c r="AK33" s="1" t="n"/>
      <c r="AL33" s="1" t="n"/>
      <c r="AM33" s="1" t="n"/>
      <c r="AN33" s="1" t="n"/>
      <c r="AO33" s="1" t="n"/>
      <c r="AP33" s="1" t="n"/>
      <c r="AQ33" s="1" t="n"/>
      <c r="AR33" s="1" t="n"/>
      <c r="AS33" s="1" t="n"/>
      <c r="AT33" s="1" t="n"/>
      <c r="AU33" s="1" t="n"/>
      <c r="AV33" s="1" t="n"/>
      <c r="AW33" s="1" t="n"/>
      <c r="AX33" s="1" t="n"/>
      <c r="AY33" s="1" t="n"/>
      <c r="AZ33" s="1" t="n"/>
      <c r="BA33" s="1" t="n"/>
      <c r="BB33" s="1" t="n"/>
      <c r="BC33" s="1" t="n"/>
      <c r="BD33" s="1" t="n"/>
      <c r="BE33" s="1" t="n"/>
      <c r="BF33" s="1" t="n"/>
      <c r="BG33" s="1" t="n"/>
      <c r="BH33" s="1" t="n"/>
      <c r="BI33" s="1" t="n"/>
      <c r="BJ33" s="1" t="n"/>
      <c r="BK33" s="1" t="n"/>
      <c r="BL33" s="1" t="n"/>
      <c r="BM33" s="1" t="n"/>
      <c r="BN33" s="1" t="n"/>
      <c r="BO33" s="1" t="n"/>
      <c r="BP33" s="1" t="n"/>
      <c r="BQ33" s="1" t="n"/>
      <c r="BR33" s="1" t="n"/>
      <c r="BS33" s="1" t="n"/>
      <c r="BT33" s="1" t="n"/>
      <c r="BU33" s="1" t="n"/>
      <c r="BV33" s="1" t="n"/>
      <c r="BW33" s="1" t="n"/>
      <c r="BX33" s="1" t="n"/>
      <c r="BY33" s="1" t="n"/>
      <c r="BZ33" s="1" t="n"/>
      <c r="CA33" s="1" t="n"/>
      <c r="CB33" s="1" t="n"/>
      <c r="CC33" s="1" t="n"/>
      <c r="CD33" s="1" t="n"/>
      <c r="CE33" s="1" t="n"/>
      <c r="CF33" s="1" t="n"/>
      <c r="CG33" s="1" t="n"/>
      <c r="CH33" s="1" t="n"/>
      <c r="CI33" s="1" t="n"/>
      <c r="CJ33" s="1" t="n"/>
      <c r="CK33" s="1" t="n"/>
      <c r="CL33" s="1" t="n"/>
      <c r="CM33" s="1" t="n"/>
      <c r="CN33" s="1" t="n"/>
      <c r="CO33" s="1" t="n"/>
      <c r="CP33" s="1" t="n"/>
      <c r="CQ33" s="1" t="n"/>
      <c r="CR33" s="1" t="n"/>
      <c r="CS33" s="1" t="n"/>
      <c r="CT33" s="1" t="n"/>
      <c r="CU33" s="1" t="n"/>
      <c r="CV33" s="1" t="n"/>
      <c r="CW33" s="1" t="n"/>
      <c r="CX33" s="1" t="n"/>
      <c r="CY33" s="1" t="n"/>
      <c r="CZ33" s="1" t="n"/>
      <c r="DA33" s="1" t="n"/>
      <c r="DB33" s="1" t="n"/>
      <c r="DC33" s="1" t="n"/>
      <c r="DD33" s="1" t="n"/>
      <c r="DE33" s="1" t="n"/>
      <c r="DF33" s="1" t="n"/>
      <c r="DG33" s="1" t="n"/>
      <c r="DH33" s="1" t="n"/>
      <c r="DI33" s="1" t="n"/>
      <c r="DJ33" s="1" t="n"/>
      <c r="DK33" s="1" t="n"/>
      <c r="DL33" s="1" t="n"/>
      <c r="DM33" s="1" t="n"/>
      <c r="DN33" s="1" t="n"/>
      <c r="DO33" s="1" t="n"/>
      <c r="DP33" s="1" t="n"/>
      <c r="DQ33" s="1" t="n"/>
      <c r="DR33" s="1" t="n"/>
      <c r="DS33" s="1" t="n"/>
      <c r="DT33" s="1" t="n"/>
      <c r="DU33" s="1" t="n"/>
      <c r="DV33" s="1" t="n"/>
      <c r="DW33" s="1" t="n"/>
      <c r="DX33" s="1" t="n"/>
      <c r="DY33" s="1" t="n"/>
      <c r="DZ33" s="1" t="n"/>
      <c r="EA33" s="1" t="n"/>
      <c r="EB33" s="1" t="n"/>
      <c r="EC33" s="1" t="n"/>
      <c r="ED33" s="1" t="n"/>
      <c r="EE33" s="1" t="n"/>
      <c r="EF33" s="1" t="n"/>
      <c r="EG33" s="1" t="n"/>
      <c r="EH33" s="1" t="n"/>
      <c r="EI33" s="1" t="n"/>
      <c r="EJ33" s="1" t="n"/>
      <c r="EK33" s="1" t="n"/>
      <c r="EL33" s="1" t="n"/>
      <c r="EM33" s="1" t="n"/>
      <c r="EN33" s="1" t="n"/>
      <c r="EO33" s="1" t="n"/>
      <c r="EP33" s="1" t="n"/>
      <c r="EQ33" s="1" t="n"/>
      <c r="ER33" s="1" t="n"/>
      <c r="ES33" s="1" t="n"/>
      <c r="ET33" s="1" t="n"/>
      <c r="EU33" s="1" t="n"/>
      <c r="EV33" s="1" t="n"/>
      <c r="EW33" s="1" t="n"/>
      <c r="EX33" s="1" t="n"/>
      <c r="EY33" s="1" t="n"/>
    </row>
    <row r="34" ht="63" customFormat="1" customHeight="1" s="5">
      <c r="A34" s="63" t="inlineStr">
        <is>
          <t xml:space="preserve">Audit promoteur hors pharmacie (si  &gt; 1 jour)
De la préparation à la mise en œuvre des actions correctives  (hors pharmacie.Tarification sépcifique pour les recherches sur les DM).
</t>
        </is>
      </c>
      <c r="B34" s="9" t="inlineStr">
        <is>
          <t xml:space="preserve">Par centre
</t>
        </is>
      </c>
      <c r="C34" s="9" t="inlineStr">
        <is>
          <t>coût</t>
        </is>
      </c>
      <c r="D34" s="11" t="n">
        <v>505.62</v>
      </c>
      <c r="E34" s="32" t="n"/>
      <c r="F34" s="11">
        <f>D34*E34</f>
        <v/>
      </c>
      <c r="G34" s="117">
        <f>F34</f>
        <v/>
      </c>
      <c r="H34" s="135" t="inlineStr">
        <is>
          <t>Concernant les DM, ventiler le coût de l'audit : 30% pour la pharmacie et 70% pour le 'hors pharmacie'.</t>
        </is>
      </c>
      <c r="I34" s="1" t="n"/>
      <c r="J34" s="1" t="n"/>
      <c r="K34" s="1" t="n"/>
      <c r="L34" s="1" t="n"/>
      <c r="M34" s="1" t="n"/>
      <c r="N34" s="1" t="n"/>
      <c r="O34" s="1" t="n"/>
      <c r="P34" s="1" t="n"/>
      <c r="Q34" s="1" t="n"/>
      <c r="R34" s="1" t="n"/>
      <c r="S34" s="1" t="n"/>
      <c r="T34" s="1" t="n"/>
      <c r="U34" s="1" t="n"/>
      <c r="V34" s="1" t="n"/>
      <c r="W34" s="1" t="n"/>
      <c r="X34" s="1" t="n"/>
      <c r="Y34" s="1" t="n"/>
      <c r="Z34" s="1" t="n"/>
      <c r="AA34" s="1" t="n"/>
      <c r="AB34" s="1" t="n"/>
      <c r="AC34" s="1" t="n"/>
      <c r="AD34" s="1" t="n"/>
      <c r="AE34" s="1" t="n"/>
      <c r="AF34" s="1" t="n"/>
      <c r="AG34" s="1" t="n"/>
      <c r="AH34" s="1" t="n"/>
      <c r="AI34" s="1" t="n"/>
      <c r="AJ34" s="1" t="n"/>
      <c r="AK34" s="1" t="n"/>
      <c r="AL34" s="1" t="n"/>
      <c r="AM34" s="1" t="n"/>
      <c r="AN34" s="1" t="n"/>
      <c r="AO34" s="1" t="n"/>
      <c r="AP34" s="1" t="n"/>
      <c r="AQ34" s="1" t="n"/>
      <c r="AR34" s="1" t="n"/>
      <c r="AS34" s="1" t="n"/>
      <c r="AT34" s="1" t="n"/>
      <c r="AU34" s="1" t="n"/>
      <c r="AV34" s="1" t="n"/>
      <c r="AW34" s="1" t="n"/>
      <c r="AX34" s="1" t="n"/>
      <c r="AY34" s="1" t="n"/>
      <c r="AZ34" s="1" t="n"/>
      <c r="BA34" s="1" t="n"/>
      <c r="BB34" s="1" t="n"/>
      <c r="BC34" s="1" t="n"/>
      <c r="BD34" s="1" t="n"/>
      <c r="BE34" s="1" t="n"/>
      <c r="BF34" s="1" t="n"/>
      <c r="BG34" s="1" t="n"/>
      <c r="BH34" s="1" t="n"/>
      <c r="BI34" s="1" t="n"/>
      <c r="BJ34" s="1" t="n"/>
      <c r="BK34" s="1" t="n"/>
      <c r="BL34" s="1" t="n"/>
      <c r="BM34" s="1" t="n"/>
      <c r="BN34" s="1" t="n"/>
      <c r="BO34" s="1" t="n"/>
      <c r="BP34" s="1" t="n"/>
      <c r="BQ34" s="1" t="n"/>
      <c r="BR34" s="1" t="n"/>
      <c r="BS34" s="1" t="n"/>
      <c r="BT34" s="1" t="n"/>
      <c r="BU34" s="1" t="n"/>
      <c r="BV34" s="1" t="n"/>
      <c r="BW34" s="1" t="n"/>
      <c r="BX34" s="1" t="n"/>
      <c r="BY34" s="1" t="n"/>
      <c r="BZ34" s="1" t="n"/>
      <c r="CA34" s="1" t="n"/>
      <c r="CB34" s="1" t="n"/>
      <c r="CC34" s="1" t="n"/>
      <c r="CD34" s="1" t="n"/>
      <c r="CE34" s="1" t="n"/>
      <c r="CF34" s="1" t="n"/>
      <c r="CG34" s="1" t="n"/>
      <c r="CH34" s="1" t="n"/>
      <c r="CI34" s="1" t="n"/>
      <c r="CJ34" s="1" t="n"/>
      <c r="CK34" s="1" t="n"/>
      <c r="CL34" s="1" t="n"/>
      <c r="CM34" s="1" t="n"/>
      <c r="CN34" s="1" t="n"/>
      <c r="CO34" s="1" t="n"/>
      <c r="CP34" s="1" t="n"/>
      <c r="CQ34" s="1" t="n"/>
      <c r="CR34" s="1" t="n"/>
      <c r="CS34" s="1" t="n"/>
      <c r="CT34" s="1" t="n"/>
      <c r="CU34" s="1" t="n"/>
      <c r="CV34" s="1" t="n"/>
      <c r="CW34" s="1" t="n"/>
      <c r="CX34" s="1" t="n"/>
      <c r="CY34" s="1" t="n"/>
      <c r="CZ34" s="1" t="n"/>
      <c r="DA34" s="1" t="n"/>
      <c r="DB34" s="1" t="n"/>
      <c r="DC34" s="1" t="n"/>
      <c r="DD34" s="1" t="n"/>
      <c r="DE34" s="1" t="n"/>
      <c r="DF34" s="1" t="n"/>
      <c r="DG34" s="1" t="n"/>
      <c r="DH34" s="1" t="n"/>
      <c r="DI34" s="1" t="n"/>
      <c r="DJ34" s="1" t="n"/>
      <c r="DK34" s="1" t="n"/>
      <c r="DL34" s="1" t="n"/>
      <c r="DM34" s="1" t="n"/>
      <c r="DN34" s="1" t="n"/>
      <c r="DO34" s="1" t="n"/>
      <c r="DP34" s="1" t="n"/>
      <c r="DQ34" s="1" t="n"/>
      <c r="DR34" s="1" t="n"/>
      <c r="DS34" s="1" t="n"/>
      <c r="DT34" s="1" t="n"/>
      <c r="DU34" s="1" t="n"/>
      <c r="DV34" s="1" t="n"/>
      <c r="DW34" s="1" t="n"/>
      <c r="DX34" s="1" t="n"/>
      <c r="DY34" s="1" t="n"/>
      <c r="DZ34" s="1" t="n"/>
      <c r="EA34" s="1" t="n"/>
      <c r="EB34" s="1" t="n"/>
      <c r="EC34" s="1" t="n"/>
      <c r="ED34" s="1" t="n"/>
      <c r="EE34" s="1" t="n"/>
      <c r="EF34" s="1" t="n"/>
      <c r="EG34" s="1" t="n"/>
      <c r="EH34" s="1" t="n"/>
      <c r="EI34" s="1" t="n"/>
      <c r="EJ34" s="1" t="n"/>
      <c r="EK34" s="1" t="n"/>
      <c r="EL34" s="1" t="n"/>
      <c r="EM34" s="1" t="n"/>
      <c r="EN34" s="1" t="n"/>
      <c r="EO34" s="1" t="n"/>
      <c r="EP34" s="1" t="n"/>
      <c r="EQ34" s="1" t="n"/>
      <c r="ER34" s="1" t="n"/>
      <c r="ES34" s="1" t="n"/>
      <c r="ET34" s="1" t="n"/>
      <c r="EU34" s="1" t="n"/>
      <c r="EV34" s="1" t="n"/>
      <c r="EW34" s="1" t="n"/>
      <c r="EX34" s="1" t="n"/>
      <c r="EY34" s="1" t="n"/>
    </row>
    <row r="35" ht="48" customFormat="1" customHeight="1" s="5">
      <c r="A35" s="207" t="inlineStr">
        <is>
          <t>Estimation du temps TEC  - 57,5 €/h</t>
        </is>
      </c>
      <c r="B35" s="195" t="n"/>
      <c r="C35" s="195" t="n"/>
      <c r="D35" s="195" t="n"/>
      <c r="E35" s="195" t="n"/>
      <c r="F35" s="196" t="n"/>
      <c r="G35" s="119" t="n"/>
      <c r="H35" s="139" t="inlineStr">
        <is>
          <t>Le coût horaire d’un technicien de laboratoire est équivalent au coût horaire d’un TEC, soit 57,5 €/h.
Ne garder que le niveau concerné en colonne A = adapter les libellés au niveau de complexité de l'étude.</t>
        </is>
      </c>
    </row>
    <row r="36" ht="142.5" customFormat="1" customHeight="1" s="5">
      <c r="A36" s="91" t="inlineStr">
        <is>
          <t>Temps TEC formation
Recherche de niveau 1: 4h ou 5h (1h pour le CRF papier ou 2h pour l'eCRF, 1h pour la lecture du protocole, 1h pour la rédaction des procédures pour le service, 1h pour la gestion administrative).
Recherche de niveau 2: 5h ou 6h (1h pour le CRF papier, 2h pour l'eCRF, 2h pour la lecture du protocole, 1h pour la rédaction des procédures pour le service, 1h pour la gestion administrative).
Recherche de niveau 3 : 7h ou 8h (1h pour le CRF papier, 2h pour l'eCRF, 3h pour la lecture du protocole, 2h pour la rédaction des procédures pour le service, 1h pour la gestion administrative).</t>
        </is>
      </c>
      <c r="B36" s="9" t="inlineStr">
        <is>
          <t>Par personnel formé</t>
        </is>
      </c>
      <c r="C36" s="9" t="inlineStr">
        <is>
          <t>coût</t>
        </is>
      </c>
      <c r="D36" s="199" t="inlineStr">
        <is>
          <t>niveau 1 : 230 € ou 287,5 € 
niveau 2 : 287,5 € ou 345 € 
niveau 3 : 402,5 € ou 460 €</t>
        </is>
      </c>
      <c r="E36" s="200" t="n">
        <v>6</v>
      </c>
      <c r="F36" s="201" t="n">
        <v>1725</v>
      </c>
      <c r="G36" s="202" t="n">
        <v>1725</v>
      </c>
      <c r="H36" s="139" t="inlineStr">
        <is>
          <t xml:space="preserve">Le temps TEC est précisé par le promoteur selon le temps requis par le protocole.
</t>
        </is>
      </c>
      <c r="I36" s="1" t="n"/>
      <c r="J36" s="1" t="n"/>
      <c r="K36" s="1" t="n"/>
      <c r="L36" s="1" t="n"/>
      <c r="M36" s="1" t="n"/>
      <c r="N36" s="1" t="n"/>
      <c r="O36" s="1" t="n"/>
      <c r="P36" s="1" t="n"/>
      <c r="Q36" s="1" t="n"/>
      <c r="R36" s="1" t="n"/>
      <c r="S36" s="1" t="n"/>
      <c r="T36" s="1" t="n"/>
      <c r="U36" s="1" t="n"/>
      <c r="V36" s="1" t="n"/>
      <c r="W36" s="1" t="n"/>
      <c r="X36" s="1" t="n"/>
      <c r="Y36" s="1" t="n"/>
      <c r="Z36" s="1" t="n"/>
      <c r="AA36" s="1" t="n"/>
      <c r="AB36" s="1" t="n"/>
      <c r="AC36" s="1" t="n"/>
      <c r="AD36" s="1" t="n"/>
      <c r="AE36" s="1" t="n"/>
      <c r="AF36" s="1" t="n"/>
      <c r="AG36" s="1" t="n"/>
      <c r="AH36" s="1" t="n"/>
      <c r="AI36" s="1" t="n"/>
      <c r="AJ36" s="1" t="n"/>
      <c r="AK36" s="1" t="n"/>
      <c r="AL36" s="1" t="n"/>
      <c r="AM36" s="1" t="n"/>
      <c r="AN36" s="1" t="n"/>
      <c r="AO36" s="1" t="n"/>
      <c r="AP36" s="1" t="n"/>
      <c r="AQ36" s="1" t="n"/>
      <c r="AR36" s="1" t="n"/>
      <c r="AS36" s="1" t="n"/>
      <c r="AT36" s="1" t="n"/>
      <c r="AU36" s="1" t="n"/>
      <c r="AV36" s="1" t="n"/>
      <c r="AW36" s="1" t="n"/>
      <c r="AX36" s="1" t="n"/>
      <c r="AY36" s="1" t="n"/>
      <c r="AZ36" s="1" t="n"/>
      <c r="BA36" s="1" t="n"/>
      <c r="BB36" s="1" t="n"/>
      <c r="BC36" s="1" t="n"/>
      <c r="BD36" s="1" t="n"/>
      <c r="BE36" s="1" t="n"/>
      <c r="BF36" s="1" t="n"/>
      <c r="BG36" s="1" t="n"/>
      <c r="BH36" s="1" t="n"/>
      <c r="BI36" s="1" t="n"/>
      <c r="BJ36" s="1" t="n"/>
      <c r="BK36" s="1" t="n"/>
      <c r="BL36" s="1" t="n"/>
      <c r="BM36" s="1" t="n"/>
      <c r="BN36" s="1" t="n"/>
      <c r="BO36" s="1" t="n"/>
      <c r="BP36" s="1" t="n"/>
      <c r="BQ36" s="1" t="n"/>
      <c r="BR36" s="1" t="n"/>
      <c r="BS36" s="1" t="n"/>
      <c r="BT36" s="1" t="n"/>
      <c r="BU36" s="1" t="n"/>
      <c r="BV36" s="1" t="n"/>
      <c r="BW36" s="1" t="n"/>
      <c r="BX36" s="1" t="n"/>
      <c r="BY36" s="1" t="n"/>
      <c r="BZ36" s="1" t="n"/>
      <c r="CA36" s="1" t="n"/>
      <c r="CB36" s="1" t="n"/>
      <c r="CC36" s="1" t="n"/>
      <c r="CD36" s="1" t="n"/>
      <c r="CE36" s="1" t="n"/>
      <c r="CF36" s="1" t="n"/>
      <c r="CG36" s="1" t="n"/>
      <c r="CH36" s="1" t="n"/>
      <c r="CI36" s="1" t="n"/>
      <c r="CJ36" s="1" t="n"/>
      <c r="CK36" s="1" t="n"/>
      <c r="CL36" s="1" t="n"/>
      <c r="CM36" s="1" t="n"/>
      <c r="CN36" s="1" t="n"/>
      <c r="CO36" s="1" t="n"/>
      <c r="CP36" s="1" t="n"/>
      <c r="CQ36" s="1" t="n"/>
      <c r="CR36" s="1" t="n"/>
      <c r="CS36" s="1" t="n"/>
      <c r="CT36" s="1" t="n"/>
      <c r="CU36" s="1" t="n"/>
      <c r="CV36" s="1" t="n"/>
      <c r="CW36" s="1" t="n"/>
      <c r="CX36" s="1" t="n"/>
      <c r="CY36" s="1" t="n"/>
      <c r="CZ36" s="1" t="n"/>
      <c r="DA36" s="1" t="n"/>
      <c r="DB36" s="1" t="n"/>
      <c r="DC36" s="1" t="n"/>
      <c r="DD36" s="1" t="n"/>
      <c r="DE36" s="1" t="n"/>
      <c r="DF36" s="1" t="n"/>
      <c r="DG36" s="1" t="n"/>
      <c r="DH36" s="1" t="n"/>
      <c r="DI36" s="1" t="n"/>
      <c r="DJ36" s="1" t="n"/>
      <c r="DK36" s="1" t="n"/>
      <c r="DL36" s="1" t="n"/>
      <c r="DM36" s="1" t="n"/>
      <c r="DN36" s="1" t="n"/>
      <c r="DO36" s="1" t="n"/>
      <c r="DP36" s="1" t="n"/>
      <c r="DQ36" s="1" t="n"/>
      <c r="DR36" s="1" t="n"/>
      <c r="DS36" s="1" t="n"/>
      <c r="DT36" s="1" t="n"/>
      <c r="DU36" s="1" t="n"/>
      <c r="DV36" s="1" t="n"/>
      <c r="DW36" s="1" t="n"/>
      <c r="DX36" s="1" t="n"/>
      <c r="DY36" s="1" t="n"/>
      <c r="DZ36" s="1" t="n"/>
      <c r="EA36" s="1" t="n"/>
      <c r="EB36" s="1" t="n"/>
      <c r="EC36" s="1" t="n"/>
      <c r="ED36" s="1" t="n"/>
      <c r="EE36" s="1" t="n"/>
      <c r="EF36" s="1" t="n"/>
      <c r="EG36" s="1" t="n"/>
      <c r="EH36" s="1" t="n"/>
      <c r="EI36" s="1" t="n"/>
      <c r="EJ36" s="1" t="n"/>
      <c r="EK36" s="1" t="n"/>
      <c r="EL36" s="1" t="n"/>
      <c r="EM36" s="1" t="n"/>
      <c r="EN36" s="1" t="n"/>
      <c r="EO36" s="1" t="n"/>
      <c r="EP36" s="1" t="n"/>
      <c r="EQ36" s="1" t="n"/>
      <c r="ER36" s="1" t="n"/>
      <c r="ES36" s="1" t="n"/>
      <c r="ET36" s="1" t="n"/>
      <c r="EU36" s="1" t="n"/>
      <c r="EV36" s="1" t="n"/>
      <c r="EW36" s="1" t="n"/>
      <c r="EX36" s="1" t="n"/>
      <c r="EY36" s="1" t="n"/>
    </row>
    <row r="37" ht="92.25" customFormat="1" customHeight="1" s="5">
      <c r="A37" s="183" t="inlineStr">
        <is>
          <t>Temps TEC monitoring avec promoteur/CRO
Par jour et par ARC moniteur.
Préparation des dossiers patients, disponibilité, résolution des queries (en moyenne et pas par nombre de dossiers patients).
Recherche de niveau 1: 2,5 h par visite de monitoring.
Recherche de niveau 2: 4h par visite de monitoring.
Recherche de niveau 3: 5 h par visite de monitoring.</t>
        </is>
      </c>
      <c r="B37" s="9" t="inlineStr">
        <is>
          <t>Par jour et par ARC moniteur</t>
        </is>
      </c>
      <c r="C37" s="9" t="inlineStr">
        <is>
          <t>coût</t>
        </is>
      </c>
      <c r="D37" s="199" t="inlineStr">
        <is>
          <t>niveau 1: 186,25€
niveau 2: 230€
niveau 3: 287,5€</t>
        </is>
      </c>
      <c r="E37" s="200" t="n">
        <v>28</v>
      </c>
      <c r="F37" s="201" t="n">
        <v>6440</v>
      </c>
      <c r="G37" s="202" t="n">
        <v>6440</v>
      </c>
      <c r="H37" s="139" t="inlineStr">
        <is>
          <t>"Temps TEC monitoring avec promoteur/CRO" doit être facturé par jour et par ARC moniteur (hors co-visite dans le cadre d’une formation ou d’un coaching). 
Ces données ne concernent pas l'imagerie si les données sont générées par un portail d'imagerie, distinctes du CRF (cf. ligne 146).</t>
        </is>
      </c>
      <c r="I37" s="1" t="n"/>
      <c r="J37" s="1" t="n"/>
      <c r="K37" s="1" t="n"/>
      <c r="L37" s="1" t="n"/>
      <c r="M37" s="1" t="n"/>
      <c r="N37" s="1" t="n"/>
      <c r="O37" s="1" t="n"/>
      <c r="P37" s="1" t="n"/>
      <c r="Q37" s="1" t="n"/>
      <c r="R37" s="1" t="n"/>
      <c r="S37" s="1" t="n"/>
      <c r="T37" s="1" t="n"/>
      <c r="U37" s="1" t="n"/>
      <c r="V37" s="1" t="n"/>
      <c r="W37" s="1" t="n"/>
      <c r="X37" s="1" t="n"/>
      <c r="Y37" s="1" t="n"/>
      <c r="Z37" s="1" t="n"/>
      <c r="AA37" s="1" t="n"/>
      <c r="AB37" s="1" t="n"/>
      <c r="AC37" s="1" t="n"/>
      <c r="AD37" s="1" t="n"/>
      <c r="AE37" s="1" t="n"/>
      <c r="AF37" s="1" t="n"/>
      <c r="AG37" s="1" t="n"/>
      <c r="AH37" s="1" t="n"/>
      <c r="AI37" s="1" t="n"/>
      <c r="AJ37" s="1" t="n"/>
      <c r="AK37" s="1" t="n"/>
      <c r="AL37" s="1" t="n"/>
      <c r="AM37" s="1" t="n"/>
      <c r="AN37" s="1" t="n"/>
      <c r="AO37" s="1" t="n"/>
      <c r="AP37" s="1" t="n"/>
      <c r="AQ37" s="1" t="n"/>
      <c r="AR37" s="1" t="n"/>
      <c r="AS37" s="1" t="n"/>
      <c r="AT37" s="1" t="n"/>
      <c r="AU37" s="1" t="n"/>
      <c r="AV37" s="1" t="n"/>
      <c r="AW37" s="1" t="n"/>
      <c r="AX37" s="1" t="n"/>
      <c r="AY37" s="1" t="n"/>
      <c r="AZ37" s="1" t="n"/>
      <c r="BA37" s="1" t="n"/>
      <c r="BB37" s="1" t="n"/>
      <c r="BC37" s="1" t="n"/>
      <c r="BD37" s="1" t="n"/>
      <c r="BE37" s="1" t="n"/>
      <c r="BF37" s="1" t="n"/>
      <c r="BG37" s="1" t="n"/>
      <c r="BH37" s="1" t="n"/>
      <c r="BI37" s="1" t="n"/>
      <c r="BJ37" s="1" t="n"/>
      <c r="BK37" s="1" t="n"/>
      <c r="BL37" s="1" t="n"/>
      <c r="BM37" s="1" t="n"/>
      <c r="BN37" s="1" t="n"/>
      <c r="BO37" s="1" t="n"/>
      <c r="BP37" s="1" t="n"/>
      <c r="BQ37" s="1" t="n"/>
      <c r="BR37" s="1" t="n"/>
      <c r="BS37" s="1" t="n"/>
      <c r="BT37" s="1" t="n"/>
      <c r="BU37" s="1" t="n"/>
      <c r="BV37" s="1" t="n"/>
      <c r="BW37" s="1" t="n"/>
      <c r="BX37" s="1" t="n"/>
      <c r="BY37" s="1" t="n"/>
      <c r="BZ37" s="1" t="n"/>
      <c r="CA37" s="1" t="n"/>
      <c r="CB37" s="1" t="n"/>
      <c r="CC37" s="1" t="n"/>
      <c r="CD37" s="1" t="n"/>
      <c r="CE37" s="1" t="n"/>
      <c r="CF37" s="1" t="n"/>
      <c r="CG37" s="1" t="n"/>
      <c r="CH37" s="1" t="n"/>
      <c r="CI37" s="1" t="n"/>
      <c r="CJ37" s="1" t="n"/>
      <c r="CK37" s="1" t="n"/>
      <c r="CL37" s="1" t="n"/>
      <c r="CM37" s="1" t="n"/>
      <c r="CN37" s="1" t="n"/>
      <c r="CO37" s="1" t="n"/>
      <c r="CP37" s="1" t="n"/>
      <c r="CQ37" s="1" t="n"/>
      <c r="CR37" s="1" t="n"/>
      <c r="CS37" s="1" t="n"/>
      <c r="CT37" s="1" t="n"/>
      <c r="CU37" s="1" t="n"/>
      <c r="CV37" s="1" t="n"/>
      <c r="CW37" s="1" t="n"/>
      <c r="CX37" s="1" t="n"/>
      <c r="CY37" s="1" t="n"/>
      <c r="CZ37" s="1" t="n"/>
      <c r="DA37" s="1" t="n"/>
      <c r="DB37" s="1" t="n"/>
      <c r="DC37" s="1" t="n"/>
      <c r="DD37" s="1" t="n"/>
      <c r="DE37" s="1" t="n"/>
      <c r="DF37" s="1" t="n"/>
      <c r="DG37" s="1" t="n"/>
      <c r="DH37" s="1" t="n"/>
      <c r="DI37" s="1" t="n"/>
      <c r="DJ37" s="1" t="n"/>
      <c r="DK37" s="1" t="n"/>
      <c r="DL37" s="1" t="n"/>
      <c r="DM37" s="1" t="n"/>
      <c r="DN37" s="1" t="n"/>
      <c r="DO37" s="1" t="n"/>
      <c r="DP37" s="1" t="n"/>
      <c r="DQ37" s="1" t="n"/>
      <c r="DR37" s="1" t="n"/>
      <c r="DS37" s="1" t="n"/>
      <c r="DT37" s="1" t="n"/>
      <c r="DU37" s="1" t="n"/>
      <c r="DV37" s="1" t="n"/>
      <c r="DW37" s="1" t="n"/>
      <c r="DX37" s="1" t="n"/>
      <c r="DY37" s="1" t="n"/>
      <c r="DZ37" s="1" t="n"/>
      <c r="EA37" s="1" t="n"/>
      <c r="EB37" s="1" t="n"/>
      <c r="EC37" s="1" t="n"/>
      <c r="ED37" s="1" t="n"/>
      <c r="EE37" s="1" t="n"/>
      <c r="EF37" s="1" t="n"/>
      <c r="EG37" s="1" t="n"/>
      <c r="EH37" s="1" t="n"/>
      <c r="EI37" s="1" t="n"/>
      <c r="EJ37" s="1" t="n"/>
      <c r="EK37" s="1" t="n"/>
      <c r="EL37" s="1" t="n"/>
      <c r="EM37" s="1" t="n"/>
      <c r="EN37" s="1" t="n"/>
      <c r="EO37" s="1" t="n"/>
      <c r="EP37" s="1" t="n"/>
      <c r="EQ37" s="1" t="n"/>
      <c r="ER37" s="1" t="n"/>
      <c r="ES37" s="1" t="n"/>
      <c r="ET37" s="1" t="n"/>
      <c r="EU37" s="1" t="n"/>
      <c r="EV37" s="1" t="n"/>
      <c r="EW37" s="1" t="n"/>
      <c r="EX37" s="1" t="n"/>
      <c r="EY37" s="1" t="n"/>
    </row>
    <row r="38" ht="45" customFormat="1" customHeight="1" s="5">
      <c r="A38" s="184" t="inlineStr">
        <is>
          <t xml:space="preserve">Temps TEC monitoring à distance (RDV téléphonique audio-conf) - 2h
</t>
        </is>
      </c>
      <c r="B38" s="9" t="inlineStr">
        <is>
          <t>Par RDV</t>
        </is>
      </c>
      <c r="C38" s="9" t="inlineStr">
        <is>
          <t>coût</t>
        </is>
      </c>
      <c r="D38" s="35" t="n">
        <v>115</v>
      </c>
      <c r="E38" s="32" t="n"/>
      <c r="F38" s="8">
        <f>D38*E38</f>
        <v/>
      </c>
      <c r="G38" s="117" t="inlineStr">
        <is>
          <t>Au prorata</t>
        </is>
      </c>
      <c r="H38" s="139" t="inlineStr">
        <is>
          <t>Il est admis ici que les 2h sont une moyenne; la durée réelle étant parfois plus importante ou plus réduite . L'utilisation de cette durée moyenne facilite grandement l'étape de facturation. Il ne faut pas pas modifier les 2h dans l'intitulé en colonne A.</t>
        </is>
      </c>
      <c r="I38" s="1" t="n"/>
      <c r="J38" s="1" t="n"/>
      <c r="K38" s="1" t="n"/>
      <c r="L38" s="1" t="n"/>
      <c r="M38" s="1" t="n"/>
      <c r="N38" s="1" t="n"/>
      <c r="O38" s="1" t="n"/>
      <c r="P38" s="1" t="n"/>
      <c r="Q38" s="1" t="n"/>
      <c r="R38" s="1" t="n"/>
      <c r="S38" s="1" t="n"/>
      <c r="T38" s="1" t="n"/>
      <c r="U38" s="1" t="n"/>
      <c r="V38" s="1" t="n"/>
      <c r="W38" s="1" t="n"/>
      <c r="X38" s="1" t="n"/>
      <c r="Y38" s="1" t="n"/>
      <c r="Z38" s="1" t="n"/>
      <c r="AA38" s="1" t="n"/>
      <c r="AB38" s="1" t="n"/>
      <c r="AC38" s="1" t="n"/>
      <c r="AD38" s="1" t="n"/>
      <c r="AE38" s="1" t="n"/>
      <c r="AF38" s="1" t="n"/>
      <c r="AG38" s="1" t="n"/>
      <c r="AH38" s="1" t="n"/>
      <c r="AI38" s="1" t="n"/>
      <c r="AJ38" s="1" t="n"/>
      <c r="AK38" s="1" t="n"/>
      <c r="AL38" s="1" t="n"/>
      <c r="AM38" s="1" t="n"/>
      <c r="AN38" s="1" t="n"/>
      <c r="AO38" s="1" t="n"/>
      <c r="AP38" s="1" t="n"/>
      <c r="AQ38" s="1" t="n"/>
      <c r="AR38" s="1" t="n"/>
      <c r="AS38" s="1" t="n"/>
      <c r="AT38" s="1" t="n"/>
      <c r="AU38" s="1" t="n"/>
      <c r="AV38" s="1" t="n"/>
      <c r="AW38" s="1" t="n"/>
      <c r="AX38" s="1" t="n"/>
      <c r="AY38" s="1" t="n"/>
      <c r="AZ38" s="1" t="n"/>
      <c r="BA38" s="1" t="n"/>
      <c r="BB38" s="1" t="n"/>
      <c r="BC38" s="1" t="n"/>
      <c r="BD38" s="1" t="n"/>
      <c r="BE38" s="1" t="n"/>
      <c r="BF38" s="1" t="n"/>
      <c r="BG38" s="1" t="n"/>
      <c r="BH38" s="1" t="n"/>
      <c r="BI38" s="1" t="n"/>
      <c r="BJ38" s="1" t="n"/>
      <c r="BK38" s="1" t="n"/>
      <c r="BL38" s="1" t="n"/>
      <c r="BM38" s="1" t="n"/>
      <c r="BN38" s="1" t="n"/>
      <c r="BO38" s="1" t="n"/>
      <c r="BP38" s="1" t="n"/>
      <c r="BQ38" s="1" t="n"/>
      <c r="BR38" s="1" t="n"/>
      <c r="BS38" s="1" t="n"/>
      <c r="BT38" s="1" t="n"/>
      <c r="BU38" s="1" t="n"/>
      <c r="BV38" s="1" t="n"/>
      <c r="BW38" s="1" t="n"/>
      <c r="BX38" s="1" t="n"/>
      <c r="BY38" s="1" t="n"/>
      <c r="BZ38" s="1" t="n"/>
      <c r="CA38" s="1" t="n"/>
      <c r="CB38" s="1" t="n"/>
      <c r="CC38" s="1" t="n"/>
      <c r="CD38" s="1" t="n"/>
      <c r="CE38" s="1" t="n"/>
      <c r="CF38" s="1" t="n"/>
      <c r="CG38" s="1" t="n"/>
      <c r="CH38" s="1" t="n"/>
      <c r="CI38" s="1" t="n"/>
      <c r="CJ38" s="1" t="n"/>
      <c r="CK38" s="1" t="n"/>
      <c r="CL38" s="1" t="n"/>
      <c r="CM38" s="1" t="n"/>
      <c r="CN38" s="1" t="n"/>
      <c r="CO38" s="1" t="n"/>
      <c r="CP38" s="1" t="n"/>
      <c r="CQ38" s="1" t="n"/>
      <c r="CR38" s="1" t="n"/>
      <c r="CS38" s="1" t="n"/>
      <c r="CT38" s="1" t="n"/>
      <c r="CU38" s="1" t="n"/>
      <c r="CV38" s="1" t="n"/>
      <c r="CW38" s="1" t="n"/>
      <c r="CX38" s="1" t="n"/>
      <c r="CY38" s="1" t="n"/>
      <c r="CZ38" s="1" t="n"/>
      <c r="DA38" s="1" t="n"/>
      <c r="DB38" s="1" t="n"/>
      <c r="DC38" s="1" t="n"/>
      <c r="DD38" s="1" t="n"/>
      <c r="DE38" s="1" t="n"/>
      <c r="DF38" s="1" t="n"/>
      <c r="DG38" s="1" t="n"/>
      <c r="DH38" s="1" t="n"/>
      <c r="DI38" s="1" t="n"/>
      <c r="DJ38" s="1" t="n"/>
      <c r="DK38" s="1" t="n"/>
      <c r="DL38" s="1" t="n"/>
      <c r="DM38" s="1" t="n"/>
      <c r="DN38" s="1" t="n"/>
      <c r="DO38" s="1" t="n"/>
      <c r="DP38" s="1" t="n"/>
      <c r="DQ38" s="1" t="n"/>
      <c r="DR38" s="1" t="n"/>
      <c r="DS38" s="1" t="n"/>
      <c r="DT38" s="1" t="n"/>
      <c r="DU38" s="1" t="n"/>
      <c r="DV38" s="1" t="n"/>
      <c r="DW38" s="1" t="n"/>
      <c r="DX38" s="1" t="n"/>
      <c r="DY38" s="1" t="n"/>
      <c r="DZ38" s="1" t="n"/>
      <c r="EA38" s="1" t="n"/>
      <c r="EB38" s="1" t="n"/>
      <c r="EC38" s="1" t="n"/>
      <c r="ED38" s="1" t="n"/>
      <c r="EE38" s="1" t="n"/>
      <c r="EF38" s="1" t="n"/>
      <c r="EG38" s="1" t="n"/>
      <c r="EH38" s="1" t="n"/>
      <c r="EI38" s="1" t="n"/>
      <c r="EJ38" s="1" t="n"/>
      <c r="EK38" s="1" t="n"/>
      <c r="EL38" s="1" t="n"/>
      <c r="EM38" s="1" t="n"/>
      <c r="EN38" s="1" t="n"/>
      <c r="EO38" s="1" t="n"/>
      <c r="EP38" s="1" t="n"/>
      <c r="EQ38" s="1" t="n"/>
      <c r="ER38" s="1" t="n"/>
      <c r="ES38" s="1" t="n"/>
      <c r="ET38" s="1" t="n"/>
      <c r="EU38" s="1" t="n"/>
      <c r="EV38" s="1" t="n"/>
      <c r="EW38" s="1" t="n"/>
      <c r="EX38" s="1" t="n"/>
      <c r="EY38" s="1" t="n"/>
    </row>
    <row r="39" ht="174" customFormat="1" customHeight="1" s="5">
      <c r="A39" s="183" t="inlineStr">
        <is>
          <t>Temps TEC visite de screening patient
Préparation des visites : organisation et planification des actes protocolaires, hospitalisation…,  information du patient sur le déroulement pratique des vistes de la recherche. Remplissage du CRF y compris reprises des antécédents du patient, récupération des données sources, résolution de queries.
Niveau 1: 1h+15min par tranche de 10 pages de CRF.
Niveau 2: 2h+15min par tranche de 5 pages de CRF (argumentaire : modification du parcours de soin engendrée par la mise en place de la Recherche).
Niveau 3: 3h+15min par tranche de 5 pages de CRF.
Applicable en cas d'échec de sélection 
Lister la visite</t>
        </is>
      </c>
      <c r="B39" s="9" t="inlineStr">
        <is>
          <t>Par visite</t>
        </is>
      </c>
      <c r="C39" s="9" t="inlineStr">
        <is>
          <t>coût</t>
        </is>
      </c>
      <c r="D39" s="199" t="inlineStr">
        <is>
          <t xml:space="preserve">niveau 1: 57,5 € 
niveau 2 : 115 € 
niveau 3 : 172,5 € </t>
        </is>
      </c>
      <c r="E39" s="200" t="n">
        <v>1</v>
      </c>
      <c r="F39" s="209" t="n">
        <v>115</v>
      </c>
      <c r="G39" s="202" t="n">
        <v>115</v>
      </c>
      <c r="H39" s="139" t="inlineStr">
        <is>
          <t xml:space="preserve">
Pour information : en data management 1 page = a minima 10 champs de data. La limite d’occurrence pour le temps TEC visite est par patient et par visite.
Cela peut être réévalué dès lors que le nombre de champs de données est connu.</t>
        </is>
      </c>
      <c r="I39" s="1" t="n"/>
      <c r="J39" s="1" t="n"/>
      <c r="K39" s="1" t="n"/>
      <c r="L39" s="1" t="n"/>
      <c r="M39" s="1" t="n"/>
      <c r="N39" s="1" t="n"/>
      <c r="O39" s="1" t="n"/>
      <c r="P39" s="1" t="n"/>
      <c r="Q39" s="1" t="n"/>
      <c r="R39" s="1" t="n"/>
      <c r="S39" s="1" t="n"/>
      <c r="T39" s="1" t="n"/>
      <c r="U39" s="1" t="n"/>
      <c r="V39" s="1" t="n"/>
      <c r="W39" s="1" t="n"/>
      <c r="X39" s="1" t="n"/>
      <c r="Y39" s="1" t="n"/>
      <c r="Z39" s="1" t="n"/>
      <c r="AA39" s="1" t="n"/>
      <c r="AB39" s="1" t="n"/>
      <c r="AC39" s="1" t="n"/>
      <c r="AD39" s="1" t="n"/>
      <c r="AE39" s="1" t="n"/>
      <c r="AF39" s="1" t="n"/>
      <c r="AG39" s="1" t="n"/>
      <c r="AH39" s="1" t="n"/>
      <c r="AI39" s="1" t="n"/>
      <c r="AJ39" s="1" t="n"/>
      <c r="AK39" s="1" t="n"/>
      <c r="AL39" s="1" t="n"/>
      <c r="AM39" s="1" t="n"/>
      <c r="AN39" s="1" t="n"/>
      <c r="AO39" s="1" t="n"/>
      <c r="AP39" s="1" t="n"/>
      <c r="AQ39" s="1" t="n"/>
      <c r="AR39" s="1" t="n"/>
      <c r="AS39" s="1" t="n"/>
      <c r="AT39" s="1" t="n"/>
      <c r="AU39" s="1" t="n"/>
      <c r="AV39" s="1" t="n"/>
      <c r="AW39" s="1" t="n"/>
      <c r="AX39" s="1" t="n"/>
      <c r="AY39" s="1" t="n"/>
      <c r="AZ39" s="1" t="n"/>
      <c r="BA39" s="1" t="n"/>
      <c r="BB39" s="1" t="n"/>
      <c r="BC39" s="1" t="n"/>
      <c r="BD39" s="1" t="n"/>
      <c r="BE39" s="1" t="n"/>
      <c r="BF39" s="1" t="n"/>
      <c r="BG39" s="1" t="n"/>
      <c r="BH39" s="1" t="n"/>
      <c r="BI39" s="1" t="n"/>
      <c r="BJ39" s="1" t="n"/>
      <c r="BK39" s="1" t="n"/>
      <c r="BL39" s="1" t="n"/>
      <c r="BM39" s="1" t="n"/>
      <c r="BN39" s="1" t="n"/>
      <c r="BO39" s="1" t="n"/>
      <c r="BP39" s="1" t="n"/>
      <c r="BQ39" s="1" t="n"/>
      <c r="BR39" s="1" t="n"/>
      <c r="BS39" s="1" t="n"/>
      <c r="BT39" s="1" t="n"/>
      <c r="BU39" s="1" t="n"/>
      <c r="BV39" s="1" t="n"/>
      <c r="BW39" s="1" t="n"/>
      <c r="BX39" s="1" t="n"/>
      <c r="BY39" s="1" t="n"/>
      <c r="BZ39" s="1" t="n"/>
      <c r="CA39" s="1" t="n"/>
      <c r="CB39" s="1" t="n"/>
      <c r="CC39" s="1" t="n"/>
      <c r="CD39" s="1" t="n"/>
      <c r="CE39" s="1" t="n"/>
      <c r="CF39" s="1" t="n"/>
      <c r="CG39" s="1" t="n"/>
      <c r="CH39" s="1" t="n"/>
      <c r="CI39" s="1" t="n"/>
      <c r="CJ39" s="1" t="n"/>
      <c r="CK39" s="1" t="n"/>
      <c r="CL39" s="1" t="n"/>
      <c r="CM39" s="1" t="n"/>
      <c r="CN39" s="1" t="n"/>
      <c r="CO39" s="1" t="n"/>
      <c r="CP39" s="1" t="n"/>
      <c r="CQ39" s="1" t="n"/>
      <c r="CR39" s="1" t="n"/>
      <c r="CS39" s="1" t="n"/>
      <c r="CT39" s="1" t="n"/>
      <c r="CU39" s="1" t="n"/>
      <c r="CV39" s="1" t="n"/>
      <c r="CW39" s="1" t="n"/>
      <c r="CX39" s="1" t="n"/>
      <c r="CY39" s="1" t="n"/>
      <c r="CZ39" s="1" t="n"/>
      <c r="DA39" s="1" t="n"/>
      <c r="DB39" s="1" t="n"/>
      <c r="DC39" s="1" t="n"/>
      <c r="DD39" s="1" t="n"/>
      <c r="DE39" s="1" t="n"/>
      <c r="DF39" s="1" t="n"/>
      <c r="DG39" s="1" t="n"/>
      <c r="DH39" s="1" t="n"/>
      <c r="DI39" s="1" t="n"/>
      <c r="DJ39" s="1" t="n"/>
      <c r="DK39" s="1" t="n"/>
      <c r="DL39" s="1" t="n"/>
      <c r="DM39" s="1" t="n"/>
      <c r="DN39" s="1" t="n"/>
      <c r="DO39" s="1" t="n"/>
      <c r="DP39" s="1" t="n"/>
      <c r="DQ39" s="1" t="n"/>
      <c r="DR39" s="1" t="n"/>
      <c r="DS39" s="1" t="n"/>
      <c r="DT39" s="1" t="n"/>
      <c r="DU39" s="1" t="n"/>
      <c r="DV39" s="1" t="n"/>
      <c r="DW39" s="1" t="n"/>
      <c r="DX39" s="1" t="n"/>
      <c r="DY39" s="1" t="n"/>
      <c r="DZ39" s="1" t="n"/>
      <c r="EA39" s="1" t="n"/>
      <c r="EB39" s="1" t="n"/>
      <c r="EC39" s="1" t="n"/>
      <c r="ED39" s="1" t="n"/>
      <c r="EE39" s="1" t="n"/>
      <c r="EF39" s="1" t="n"/>
      <c r="EG39" s="1" t="n"/>
      <c r="EH39" s="1" t="n"/>
      <c r="EI39" s="1" t="n"/>
      <c r="EJ39" s="1" t="n"/>
      <c r="EK39" s="1" t="n"/>
      <c r="EL39" s="1" t="n"/>
      <c r="EM39" s="1" t="n"/>
      <c r="EN39" s="1" t="n"/>
      <c r="EO39" s="1" t="n"/>
      <c r="EP39" s="1" t="n"/>
      <c r="EQ39" s="1" t="n"/>
      <c r="ER39" s="1" t="n"/>
      <c r="ES39" s="1" t="n"/>
      <c r="ET39" s="1" t="n"/>
      <c r="EU39" s="1" t="n"/>
      <c r="EV39" s="1" t="n"/>
      <c r="EW39" s="1" t="n"/>
      <c r="EX39" s="1" t="n"/>
      <c r="EY39" s="1" t="n"/>
    </row>
    <row r="40" ht="136.5" customFormat="1" customHeight="1" s="5">
      <c r="A40" s="183" t="inlineStr">
        <is>
          <t>Temps TEC visite sur site, de suivi patient ou téléphonique
Organisation de la visite (dont organisation et planification des actes protocolaires, hospitalisations…), saisie du CRF, résolution des queries, Gestion des évènements indésirables, Préciser lesquelles à l'aide du protocole.
Niveau 1: 1h+15min par tranche de 10 pages de CRF.
Niveau 2: 2h+15min par tranche de 5 pages de CRF.
Niveau 3: 2h+15min par tranche de 5 pages de CRF.
Lister les visites</t>
        </is>
      </c>
      <c r="B40" s="9" t="inlineStr">
        <is>
          <t xml:space="preserve">Par visite 
</t>
        </is>
      </c>
      <c r="C40" s="9" t="inlineStr">
        <is>
          <t>coût</t>
        </is>
      </c>
      <c r="D40" s="199" t="inlineStr">
        <is>
          <t xml:space="preserve">niveau 1: 57,5 € 
niveau 2 : 115 € 
niveau 3 : 115€ </t>
        </is>
      </c>
      <c r="E40" s="200" t="n">
        <v>3</v>
      </c>
      <c r="F40" s="209" t="n">
        <v>1207.5</v>
      </c>
      <c r="G40" s="202" t="n">
        <v>12075</v>
      </c>
      <c r="H40" s="139" t="inlineStr">
        <is>
          <t xml:space="preserve">
Ajouter 5 à 10 pages en prévision des évènements indésirables..
Pour information : en data management 1page = a minima 10 champs de data. La limite d’occurrence pour le temps TEC visite est par patient et par visite.
Cela pourrait être réévalué lorsque le nombre de champs de données sera connu.
Ces données ne concernent pas l'imagerie si les données sont générées par un portail d'imagerie, distinctes du CRF (cf. ligne 146).</t>
        </is>
      </c>
      <c r="I40" s="1" t="n"/>
      <c r="J40" s="1" t="n"/>
      <c r="K40" s="1" t="n"/>
      <c r="L40" s="1" t="n"/>
      <c r="M40" s="1" t="n"/>
      <c r="N40" s="1" t="n"/>
      <c r="O40" s="1" t="n"/>
      <c r="P40" s="1" t="n"/>
      <c r="Q40" s="1" t="n"/>
      <c r="R40" s="1" t="n"/>
      <c r="S40" s="1" t="n"/>
      <c r="T40" s="1" t="n"/>
      <c r="U40" s="1" t="n"/>
      <c r="V40" s="1" t="n"/>
      <c r="W40" s="1" t="n"/>
      <c r="X40" s="1" t="n"/>
      <c r="Y40" s="1" t="n"/>
      <c r="Z40" s="1" t="n"/>
      <c r="AA40" s="1" t="n"/>
      <c r="AB40" s="1" t="n"/>
      <c r="AC40" s="1" t="n"/>
      <c r="AD40" s="1" t="n"/>
      <c r="AE40" s="1" t="n"/>
      <c r="AF40" s="1" t="n"/>
      <c r="AG40" s="1" t="n"/>
      <c r="AH40" s="1" t="n"/>
      <c r="AI40" s="1" t="n"/>
      <c r="AJ40" s="1" t="n"/>
      <c r="AK40" s="1" t="n"/>
      <c r="AL40" s="1" t="n"/>
      <c r="AM40" s="1" t="n"/>
      <c r="AN40" s="1" t="n"/>
      <c r="AO40" s="1" t="n"/>
      <c r="AP40" s="1" t="n"/>
      <c r="AQ40" s="1" t="n"/>
      <c r="AR40" s="1" t="n"/>
      <c r="AS40" s="1" t="n"/>
      <c r="AT40" s="1" t="n"/>
      <c r="AU40" s="1" t="n"/>
      <c r="AV40" s="1" t="n"/>
      <c r="AW40" s="1" t="n"/>
      <c r="AX40" s="1" t="n"/>
      <c r="AY40" s="1" t="n"/>
      <c r="AZ40" s="1" t="n"/>
      <c r="BA40" s="1" t="n"/>
      <c r="BB40" s="1" t="n"/>
      <c r="BC40" s="1" t="n"/>
      <c r="BD40" s="1" t="n"/>
      <c r="BE40" s="1" t="n"/>
      <c r="BF40" s="1" t="n"/>
      <c r="BG40" s="1" t="n"/>
      <c r="BH40" s="1" t="n"/>
      <c r="BI40" s="1" t="n"/>
      <c r="BJ40" s="1" t="n"/>
      <c r="BK40" s="1" t="n"/>
      <c r="BL40" s="1" t="n"/>
      <c r="BM40" s="1" t="n"/>
      <c r="BN40" s="1" t="n"/>
      <c r="BO40" s="1" t="n"/>
      <c r="BP40" s="1" t="n"/>
      <c r="BQ40" s="1" t="n"/>
      <c r="BR40" s="1" t="n"/>
      <c r="BS40" s="1" t="n"/>
      <c r="BT40" s="1" t="n"/>
      <c r="BU40" s="1" t="n"/>
      <c r="BV40" s="1" t="n"/>
      <c r="BW40" s="1" t="n"/>
      <c r="BX40" s="1" t="n"/>
      <c r="BY40" s="1" t="n"/>
      <c r="BZ40" s="1" t="n"/>
      <c r="CA40" s="1" t="n"/>
      <c r="CB40" s="1" t="n"/>
      <c r="CC40" s="1" t="n"/>
      <c r="CD40" s="1" t="n"/>
      <c r="CE40" s="1" t="n"/>
      <c r="CF40" s="1" t="n"/>
      <c r="CG40" s="1" t="n"/>
      <c r="CH40" s="1" t="n"/>
      <c r="CI40" s="1" t="n"/>
      <c r="CJ40" s="1" t="n"/>
      <c r="CK40" s="1" t="n"/>
      <c r="CL40" s="1" t="n"/>
      <c r="CM40" s="1" t="n"/>
      <c r="CN40" s="1" t="n"/>
      <c r="CO40" s="1" t="n"/>
      <c r="CP40" s="1" t="n"/>
      <c r="CQ40" s="1" t="n"/>
      <c r="CR40" s="1" t="n"/>
      <c r="CS40" s="1" t="n"/>
      <c r="CT40" s="1" t="n"/>
      <c r="CU40" s="1" t="n"/>
      <c r="CV40" s="1" t="n"/>
      <c r="CW40" s="1" t="n"/>
      <c r="CX40" s="1" t="n"/>
      <c r="CY40" s="1" t="n"/>
      <c r="CZ40" s="1" t="n"/>
      <c r="DA40" s="1" t="n"/>
      <c r="DB40" s="1" t="n"/>
      <c r="DC40" s="1" t="n"/>
      <c r="DD40" s="1" t="n"/>
      <c r="DE40" s="1" t="n"/>
      <c r="DF40" s="1" t="n"/>
      <c r="DG40" s="1" t="n"/>
      <c r="DH40" s="1" t="n"/>
      <c r="DI40" s="1" t="n"/>
      <c r="DJ40" s="1" t="n"/>
      <c r="DK40" s="1" t="n"/>
      <c r="DL40" s="1" t="n"/>
      <c r="DM40" s="1" t="n"/>
      <c r="DN40" s="1" t="n"/>
      <c r="DO40" s="1" t="n"/>
      <c r="DP40" s="1" t="n"/>
      <c r="DQ40" s="1" t="n"/>
      <c r="DR40" s="1" t="n"/>
      <c r="DS40" s="1" t="n"/>
      <c r="DT40" s="1" t="n"/>
      <c r="DU40" s="1" t="n"/>
      <c r="DV40" s="1" t="n"/>
      <c r="DW40" s="1" t="n"/>
      <c r="DX40" s="1" t="n"/>
      <c r="DY40" s="1" t="n"/>
      <c r="DZ40" s="1" t="n"/>
      <c r="EA40" s="1" t="n"/>
      <c r="EB40" s="1" t="n"/>
      <c r="EC40" s="1" t="n"/>
      <c r="ED40" s="1" t="n"/>
      <c r="EE40" s="1" t="n"/>
      <c r="EF40" s="1" t="n"/>
      <c r="EG40" s="1" t="n"/>
      <c r="EH40" s="1" t="n"/>
      <c r="EI40" s="1" t="n"/>
      <c r="EJ40" s="1" t="n"/>
      <c r="EK40" s="1" t="n"/>
      <c r="EL40" s="1" t="n"/>
      <c r="EM40" s="1" t="n"/>
      <c r="EN40" s="1" t="n"/>
      <c r="EO40" s="1" t="n"/>
      <c r="EP40" s="1" t="n"/>
      <c r="EQ40" s="1" t="n"/>
      <c r="ER40" s="1" t="n"/>
      <c r="ES40" s="1" t="n"/>
      <c r="ET40" s="1" t="n"/>
      <c r="EU40" s="1" t="n"/>
      <c r="EV40" s="1" t="n"/>
      <c r="EW40" s="1" t="n"/>
      <c r="EX40" s="1" t="n"/>
      <c r="EY40" s="1" t="n"/>
    </row>
    <row r="41" ht="104.25" customFormat="1" customHeight="1" s="5">
      <c r="A41" s="183" t="inlineStr">
        <is>
          <t>Temps TEC visite finale ou arrêt prématuré
Préparation de la visite (dont organisation et planification des actes protocolaires, hospitalisations…), saisie du CRF, résolution des queries.
Niveau 1: 1h+15min par tranche de 10 pages de CRF.
Niveau 2: 2h+15min par tranche de 5 pages de CRF.
Niveau 3: 2h+15min par tranche de 5 pages de CRF.
Lister la visite</t>
        </is>
      </c>
      <c r="B41" s="9" t="inlineStr">
        <is>
          <t>Par visite</t>
        </is>
      </c>
      <c r="C41" s="9" t="inlineStr">
        <is>
          <t>coût</t>
        </is>
      </c>
      <c r="D41" s="199" t="inlineStr">
        <is>
          <t xml:space="preserve">niveau 1: 57,5 € 
niveau 2 : 115 € 
niveau 3 : 115€ </t>
        </is>
      </c>
      <c r="E41" s="200" t="n">
        <v>1</v>
      </c>
      <c r="F41" s="209" t="n">
        <v>402.5</v>
      </c>
      <c r="G41" s="202" t="n">
        <v>4025</v>
      </c>
      <c r="H41" s="139" t="inlineStr">
        <is>
          <t>Ajouter 5 à 10 pages en prévision des évènements indésirables.
Pour information : en data management 1page = a minima 10 champs de data. La limite d’occurrence pour le temps TEC visite est par patient et par visite.
Cela pourrait être réévalué lorsque le nombre de champs de données sera connu.
Ces données ne concernent pas l'imagerie si les données sont générées par un portail d'imagerie, distinctes du CRF (cf. ligne 146).</t>
        </is>
      </c>
      <c r="I41" s="1" t="n"/>
      <c r="J41" s="1" t="n"/>
      <c r="K41" s="1" t="n"/>
      <c r="L41" s="1" t="n"/>
      <c r="M41" s="1" t="n"/>
      <c r="N41" s="1" t="n"/>
      <c r="O41" s="1" t="n"/>
      <c r="P41" s="1" t="n"/>
      <c r="Q41" s="1" t="n"/>
      <c r="R41" s="1" t="n"/>
      <c r="S41" s="1" t="n"/>
      <c r="T41" s="1" t="n"/>
      <c r="U41" s="1" t="n"/>
      <c r="V41" s="1" t="n"/>
      <c r="W41" s="1" t="n"/>
      <c r="X41" s="1" t="n"/>
      <c r="Y41" s="1" t="n"/>
      <c r="Z41" s="1" t="n"/>
      <c r="AA41" s="1" t="n"/>
      <c r="AB41" s="1" t="n"/>
      <c r="AC41" s="1" t="n"/>
      <c r="AD41" s="1" t="n"/>
      <c r="AE41" s="1" t="n"/>
      <c r="AF41" s="1" t="n"/>
      <c r="AG41" s="1" t="n"/>
      <c r="AH41" s="1" t="n"/>
      <c r="AI41" s="1" t="n"/>
      <c r="AJ41" s="1" t="n"/>
      <c r="AK41" s="1" t="n"/>
      <c r="AL41" s="1" t="n"/>
      <c r="AM41" s="1" t="n"/>
      <c r="AN41" s="1" t="n"/>
      <c r="AO41" s="1" t="n"/>
      <c r="AP41" s="1" t="n"/>
      <c r="AQ41" s="1" t="n"/>
      <c r="AR41" s="1" t="n"/>
      <c r="AS41" s="1" t="n"/>
      <c r="AT41" s="1" t="n"/>
      <c r="AU41" s="1" t="n"/>
      <c r="AV41" s="1" t="n"/>
      <c r="AW41" s="1" t="n"/>
      <c r="AX41" s="1" t="n"/>
      <c r="AY41" s="1" t="n"/>
      <c r="AZ41" s="1" t="n"/>
      <c r="BA41" s="1" t="n"/>
      <c r="BB41" s="1" t="n"/>
      <c r="BC41" s="1" t="n"/>
      <c r="BD41" s="1" t="n"/>
      <c r="BE41" s="1" t="n"/>
      <c r="BF41" s="1" t="n"/>
      <c r="BG41" s="1" t="n"/>
      <c r="BH41" s="1" t="n"/>
      <c r="BI41" s="1" t="n"/>
      <c r="BJ41" s="1" t="n"/>
      <c r="BK41" s="1" t="n"/>
      <c r="BL41" s="1" t="n"/>
      <c r="BM41" s="1" t="n"/>
      <c r="BN41" s="1" t="n"/>
      <c r="BO41" s="1" t="n"/>
      <c r="BP41" s="1" t="n"/>
      <c r="BQ41" s="1" t="n"/>
      <c r="BR41" s="1" t="n"/>
      <c r="BS41" s="1" t="n"/>
      <c r="BT41" s="1" t="n"/>
      <c r="BU41" s="1" t="n"/>
      <c r="BV41" s="1" t="n"/>
      <c r="BW41" s="1" t="n"/>
      <c r="BX41" s="1" t="n"/>
      <c r="BY41" s="1" t="n"/>
      <c r="BZ41" s="1" t="n"/>
      <c r="CA41" s="1" t="n"/>
      <c r="CB41" s="1" t="n"/>
      <c r="CC41" s="1" t="n"/>
      <c r="CD41" s="1" t="n"/>
      <c r="CE41" s="1" t="n"/>
      <c r="CF41" s="1" t="n"/>
      <c r="CG41" s="1" t="n"/>
      <c r="CH41" s="1" t="n"/>
      <c r="CI41" s="1" t="n"/>
      <c r="CJ41" s="1" t="n"/>
      <c r="CK41" s="1" t="n"/>
      <c r="CL41" s="1" t="n"/>
      <c r="CM41" s="1" t="n"/>
      <c r="CN41" s="1" t="n"/>
      <c r="CO41" s="1" t="n"/>
      <c r="CP41" s="1" t="n"/>
      <c r="CQ41" s="1" t="n"/>
      <c r="CR41" s="1" t="n"/>
      <c r="CS41" s="1" t="n"/>
      <c r="CT41" s="1" t="n"/>
      <c r="CU41" s="1" t="n"/>
      <c r="CV41" s="1" t="n"/>
      <c r="CW41" s="1" t="n"/>
      <c r="CX41" s="1" t="n"/>
      <c r="CY41" s="1" t="n"/>
      <c r="CZ41" s="1" t="n"/>
      <c r="DA41" s="1" t="n"/>
      <c r="DB41" s="1" t="n"/>
      <c r="DC41" s="1" t="n"/>
      <c r="DD41" s="1" t="n"/>
      <c r="DE41" s="1" t="n"/>
      <c r="DF41" s="1" t="n"/>
      <c r="DG41" s="1" t="n"/>
      <c r="DH41" s="1" t="n"/>
      <c r="DI41" s="1" t="n"/>
      <c r="DJ41" s="1" t="n"/>
      <c r="DK41" s="1" t="n"/>
      <c r="DL41" s="1" t="n"/>
      <c r="DM41" s="1" t="n"/>
      <c r="DN41" s="1" t="n"/>
      <c r="DO41" s="1" t="n"/>
      <c r="DP41" s="1" t="n"/>
      <c r="DQ41" s="1" t="n"/>
      <c r="DR41" s="1" t="n"/>
      <c r="DS41" s="1" t="n"/>
      <c r="DT41" s="1" t="n"/>
      <c r="DU41" s="1" t="n"/>
      <c r="DV41" s="1" t="n"/>
      <c r="DW41" s="1" t="n"/>
      <c r="DX41" s="1" t="n"/>
      <c r="DY41" s="1" t="n"/>
      <c r="DZ41" s="1" t="n"/>
      <c r="EA41" s="1" t="n"/>
      <c r="EB41" s="1" t="n"/>
      <c r="EC41" s="1" t="n"/>
      <c r="ED41" s="1" t="n"/>
      <c r="EE41" s="1" t="n"/>
      <c r="EF41" s="1" t="n"/>
      <c r="EG41" s="1" t="n"/>
      <c r="EH41" s="1" t="n"/>
      <c r="EI41" s="1" t="n"/>
      <c r="EJ41" s="1" t="n"/>
      <c r="EK41" s="1" t="n"/>
      <c r="EL41" s="1" t="n"/>
      <c r="EM41" s="1" t="n"/>
      <c r="EN41" s="1" t="n"/>
      <c r="EO41" s="1" t="n"/>
      <c r="EP41" s="1" t="n"/>
      <c r="EQ41" s="1" t="n"/>
      <c r="ER41" s="1" t="n"/>
      <c r="ES41" s="1" t="n"/>
      <c r="ET41" s="1" t="n"/>
      <c r="EU41" s="1" t="n"/>
      <c r="EV41" s="1" t="n"/>
      <c r="EW41" s="1" t="n"/>
      <c r="EX41" s="1" t="n"/>
      <c r="EY41" s="1" t="n"/>
    </row>
    <row r="42" ht="51" customFormat="1" customHeight="1" s="5">
      <c r="A42" s="184" t="inlineStr">
        <is>
          <t xml:space="preserve">Temps TEC formation aux questionnaires et carnets patient - 1h/protocole
</t>
        </is>
      </c>
      <c r="B42" s="9" t="inlineStr">
        <is>
          <t>Par personnel formé</t>
        </is>
      </c>
      <c r="C42" s="9" t="inlineStr">
        <is>
          <t>coût</t>
        </is>
      </c>
      <c r="D42" s="204" t="n">
        <v>57.5</v>
      </c>
      <c r="E42" s="205" t="n">
        <v>1</v>
      </c>
      <c r="F42" s="210" t="n">
        <v>57.5</v>
      </c>
      <c r="G42" s="206" t="n">
        <v>57.5</v>
      </c>
      <c r="H42" s="139" t="inlineStr">
        <is>
          <t>La limite d’occurrence pour le temps TEC formation aux questionnaires et carnet patient est par personnel formé.
Possibilité de former d'autre back-up en cas de départ de l'employé ou fin de contrat dans le centre (à mentionner dans la facturation)</t>
        </is>
      </c>
      <c r="I42" s="1" t="n"/>
      <c r="J42" s="1" t="n"/>
      <c r="K42" s="1" t="n"/>
      <c r="L42" s="1" t="n"/>
      <c r="M42" s="1" t="n"/>
      <c r="N42" s="1" t="n"/>
      <c r="O42" s="1" t="n"/>
      <c r="P42" s="1" t="n"/>
      <c r="Q42" s="1" t="n"/>
      <c r="R42" s="1" t="n"/>
      <c r="S42" s="1" t="n"/>
      <c r="T42" s="1" t="n"/>
      <c r="U42" s="1" t="n"/>
      <c r="V42" s="1" t="n"/>
      <c r="W42" s="1" t="n"/>
      <c r="X42" s="1" t="n"/>
      <c r="Y42" s="1" t="n"/>
      <c r="Z42" s="1" t="n"/>
      <c r="AA42" s="1" t="n"/>
      <c r="AB42" s="1" t="n"/>
      <c r="AC42" s="1" t="n"/>
      <c r="AD42" s="1" t="n"/>
      <c r="AE42" s="1" t="n"/>
      <c r="AF42" s="1" t="n"/>
      <c r="AG42" s="1" t="n"/>
      <c r="AH42" s="1" t="n"/>
      <c r="AI42" s="1" t="n"/>
      <c r="AJ42" s="1" t="n"/>
      <c r="AK42" s="1" t="n"/>
      <c r="AL42" s="1" t="n"/>
      <c r="AM42" s="1" t="n"/>
      <c r="AN42" s="1" t="n"/>
      <c r="AO42" s="1" t="n"/>
      <c r="AP42" s="1" t="n"/>
      <c r="AQ42" s="1" t="n"/>
      <c r="AR42" s="1" t="n"/>
      <c r="AS42" s="1" t="n"/>
      <c r="AT42" s="1" t="n"/>
      <c r="AU42" s="1" t="n"/>
      <c r="AV42" s="1" t="n"/>
      <c r="AW42" s="1" t="n"/>
      <c r="AX42" s="1" t="n"/>
      <c r="AY42" s="1" t="n"/>
      <c r="AZ42" s="1" t="n"/>
      <c r="BA42" s="1" t="n"/>
      <c r="BB42" s="1" t="n"/>
      <c r="BC42" s="1" t="n"/>
      <c r="BD42" s="1" t="n"/>
      <c r="BE42" s="1" t="n"/>
      <c r="BF42" s="1" t="n"/>
      <c r="BG42" s="1" t="n"/>
      <c r="BH42" s="1" t="n"/>
      <c r="BI42" s="1" t="n"/>
      <c r="BJ42" s="1" t="n"/>
      <c r="BK42" s="1" t="n"/>
      <c r="BL42" s="1" t="n"/>
      <c r="BM42" s="1" t="n"/>
      <c r="BN42" s="1" t="n"/>
      <c r="BO42" s="1" t="n"/>
      <c r="BP42" s="1" t="n"/>
      <c r="BQ42" s="1" t="n"/>
      <c r="BR42" s="1" t="n"/>
      <c r="BS42" s="1" t="n"/>
      <c r="BT42" s="1" t="n"/>
      <c r="BU42" s="1" t="n"/>
      <c r="BV42" s="1" t="n"/>
      <c r="BW42" s="1" t="n"/>
      <c r="BX42" s="1" t="n"/>
      <c r="BY42" s="1" t="n"/>
      <c r="BZ42" s="1" t="n"/>
      <c r="CA42" s="1" t="n"/>
      <c r="CB42" s="1" t="n"/>
      <c r="CC42" s="1" t="n"/>
      <c r="CD42" s="1" t="n"/>
      <c r="CE42" s="1" t="n"/>
      <c r="CF42" s="1" t="n"/>
      <c r="CG42" s="1" t="n"/>
      <c r="CH42" s="1" t="n"/>
      <c r="CI42" s="1" t="n"/>
      <c r="CJ42" s="1" t="n"/>
      <c r="CK42" s="1" t="n"/>
      <c r="CL42" s="1" t="n"/>
      <c r="CM42" s="1" t="n"/>
      <c r="CN42" s="1" t="n"/>
      <c r="CO42" s="1" t="n"/>
      <c r="CP42" s="1" t="n"/>
      <c r="CQ42" s="1" t="n"/>
      <c r="CR42" s="1" t="n"/>
      <c r="CS42" s="1" t="n"/>
      <c r="CT42" s="1" t="n"/>
      <c r="CU42" s="1" t="n"/>
      <c r="CV42" s="1" t="n"/>
      <c r="CW42" s="1" t="n"/>
      <c r="CX42" s="1" t="n"/>
      <c r="CY42" s="1" t="n"/>
      <c r="CZ42" s="1" t="n"/>
      <c r="DA42" s="1" t="n"/>
      <c r="DB42" s="1" t="n"/>
      <c r="DC42" s="1" t="n"/>
      <c r="DD42" s="1" t="n"/>
      <c r="DE42" s="1" t="n"/>
      <c r="DF42" s="1" t="n"/>
      <c r="DG42" s="1" t="n"/>
      <c r="DH42" s="1" t="n"/>
      <c r="DI42" s="1" t="n"/>
      <c r="DJ42" s="1" t="n"/>
      <c r="DK42" s="1" t="n"/>
      <c r="DL42" s="1" t="n"/>
      <c r="DM42" s="1" t="n"/>
      <c r="DN42" s="1" t="n"/>
      <c r="DO42" s="1" t="n"/>
      <c r="DP42" s="1" t="n"/>
      <c r="DQ42" s="1" t="n"/>
      <c r="DR42" s="1" t="n"/>
      <c r="DS42" s="1" t="n"/>
      <c r="DT42" s="1" t="n"/>
      <c r="DU42" s="1" t="n"/>
      <c r="DV42" s="1" t="n"/>
      <c r="DW42" s="1" t="n"/>
      <c r="DX42" s="1" t="n"/>
      <c r="DY42" s="1" t="n"/>
      <c r="DZ42" s="1" t="n"/>
      <c r="EA42" s="1" t="n"/>
      <c r="EB42" s="1" t="n"/>
      <c r="EC42" s="1" t="n"/>
      <c r="ED42" s="1" t="n"/>
      <c r="EE42" s="1" t="n"/>
      <c r="EF42" s="1" t="n"/>
      <c r="EG42" s="1" t="n"/>
      <c r="EH42" s="1" t="n"/>
      <c r="EI42" s="1" t="n"/>
      <c r="EJ42" s="1" t="n"/>
      <c r="EK42" s="1" t="n"/>
      <c r="EL42" s="1" t="n"/>
      <c r="EM42" s="1" t="n"/>
      <c r="EN42" s="1" t="n"/>
      <c r="EO42" s="1" t="n"/>
      <c r="EP42" s="1" t="n"/>
      <c r="EQ42" s="1" t="n"/>
      <c r="ER42" s="1" t="n"/>
      <c r="ES42" s="1" t="n"/>
      <c r="ET42" s="1" t="n"/>
      <c r="EU42" s="1" t="n"/>
      <c r="EV42" s="1" t="n"/>
      <c r="EW42" s="1" t="n"/>
      <c r="EX42" s="1" t="n"/>
      <c r="EY42" s="1" t="n"/>
    </row>
    <row r="43" ht="111" customFormat="1" customHeight="1" s="5">
      <c r="A43" s="184" t="inlineStr">
        <is>
          <t>Temps TEC gestion auto-questionnaire ou passation et remplissage des questionnaires patients, paramétrage des tablettes questionnaires, charge, aide à la connexion, vérification, dépôt dans le service
- 15min par patient (si papier) ou 45 min (si électronique)
- si &gt; 5 auto-questionnaires 30 min par patient (si papier) ou 1h (si électronique)
Lister les visites</t>
        </is>
      </c>
      <c r="B43" s="9" t="inlineStr">
        <is>
          <t xml:space="preserve">Par visite 
</t>
        </is>
      </c>
      <c r="C43" s="9" t="inlineStr">
        <is>
          <t>coût</t>
        </is>
      </c>
      <c r="D43" s="211" t="inlineStr">
        <is>
          <t>14,37 €
si &gt; 5 auto-questionnaires :  28,75 €</t>
        </is>
      </c>
      <c r="E43" s="205" t="n">
        <v>6</v>
      </c>
      <c r="F43" s="210" t="n">
        <v>172.5</v>
      </c>
      <c r="G43" s="206" t="n">
        <v>1725</v>
      </c>
      <c r="H43" s="139" t="inlineStr">
        <is>
          <t xml:space="preserve">Par visite et par patient. Le temps TEC gestion auto-questionnaire (15 min) est doublé si plusieurs questionnaires (à revoir si cas particulier).
Cas particuliers = lorsque l'autoquestionnaire est supérieur ou égal à 30 pages. Dans ce cas particulier, la négociation peut avoir lieu au cas par cas.
</t>
        </is>
      </c>
      <c r="I43" s="1" t="n"/>
      <c r="J43" s="1" t="n"/>
      <c r="K43" s="1" t="n"/>
      <c r="L43" s="1" t="n"/>
      <c r="M43" s="1" t="n"/>
      <c r="N43" s="1" t="n"/>
      <c r="O43" s="1" t="n"/>
      <c r="P43" s="1" t="n"/>
      <c r="Q43" s="1" t="n"/>
      <c r="R43" s="1" t="n"/>
      <c r="S43" s="1" t="n"/>
      <c r="T43" s="1" t="n"/>
      <c r="U43" s="1" t="n"/>
      <c r="V43" s="1" t="n"/>
      <c r="W43" s="1" t="n"/>
      <c r="X43" s="1" t="n"/>
      <c r="Y43" s="1" t="n"/>
      <c r="Z43" s="1" t="n"/>
      <c r="AA43" s="1" t="n"/>
      <c r="AB43" s="1" t="n"/>
      <c r="AC43" s="1" t="n"/>
      <c r="AD43" s="1" t="n"/>
      <c r="AE43" s="1" t="n"/>
      <c r="AF43" s="1" t="n"/>
      <c r="AG43" s="1" t="n"/>
      <c r="AH43" s="1" t="n"/>
      <c r="AI43" s="1" t="n"/>
      <c r="AJ43" s="1" t="n"/>
      <c r="AK43" s="1" t="n"/>
      <c r="AL43" s="1" t="n"/>
      <c r="AM43" s="1" t="n"/>
      <c r="AN43" s="1" t="n"/>
      <c r="AO43" s="1" t="n"/>
      <c r="AP43" s="1" t="n"/>
      <c r="AQ43" s="1" t="n"/>
      <c r="AR43" s="1" t="n"/>
      <c r="AS43" s="1" t="n"/>
      <c r="AT43" s="1" t="n"/>
      <c r="AU43" s="1" t="n"/>
      <c r="AV43" s="1" t="n"/>
      <c r="AW43" s="1" t="n"/>
      <c r="AX43" s="1" t="n"/>
      <c r="AY43" s="1" t="n"/>
      <c r="AZ43" s="1" t="n"/>
      <c r="BA43" s="1" t="n"/>
      <c r="BB43" s="1" t="n"/>
      <c r="BC43" s="1" t="n"/>
      <c r="BD43" s="1" t="n"/>
      <c r="BE43" s="1" t="n"/>
      <c r="BF43" s="1" t="n"/>
      <c r="BG43" s="1" t="n"/>
      <c r="BH43" s="1" t="n"/>
      <c r="BI43" s="1" t="n"/>
      <c r="BJ43" s="1" t="n"/>
      <c r="BK43" s="1" t="n"/>
      <c r="BL43" s="1" t="n"/>
      <c r="BM43" s="1" t="n"/>
      <c r="BN43" s="1" t="n"/>
      <c r="BO43" s="1" t="n"/>
      <c r="BP43" s="1" t="n"/>
      <c r="BQ43" s="1" t="n"/>
      <c r="BR43" s="1" t="n"/>
      <c r="BS43" s="1" t="n"/>
      <c r="BT43" s="1" t="n"/>
      <c r="BU43" s="1" t="n"/>
      <c r="BV43" s="1" t="n"/>
      <c r="BW43" s="1" t="n"/>
      <c r="BX43" s="1" t="n"/>
      <c r="BY43" s="1" t="n"/>
      <c r="BZ43" s="1" t="n"/>
      <c r="CA43" s="1" t="n"/>
      <c r="CB43" s="1" t="n"/>
      <c r="CC43" s="1" t="n"/>
      <c r="CD43" s="1" t="n"/>
      <c r="CE43" s="1" t="n"/>
      <c r="CF43" s="1" t="n"/>
      <c r="CG43" s="1" t="n"/>
      <c r="CH43" s="1" t="n"/>
      <c r="CI43" s="1" t="n"/>
      <c r="CJ43" s="1" t="n"/>
      <c r="CK43" s="1" t="n"/>
      <c r="CL43" s="1" t="n"/>
      <c r="CM43" s="1" t="n"/>
      <c r="CN43" s="1" t="n"/>
      <c r="CO43" s="1" t="n"/>
      <c r="CP43" s="1" t="n"/>
      <c r="CQ43" s="1" t="n"/>
      <c r="CR43" s="1" t="n"/>
      <c r="CS43" s="1" t="n"/>
      <c r="CT43" s="1" t="n"/>
      <c r="CU43" s="1" t="n"/>
      <c r="CV43" s="1" t="n"/>
      <c r="CW43" s="1" t="n"/>
      <c r="CX43" s="1" t="n"/>
      <c r="CY43" s="1" t="n"/>
      <c r="CZ43" s="1" t="n"/>
      <c r="DA43" s="1" t="n"/>
      <c r="DB43" s="1" t="n"/>
      <c r="DC43" s="1" t="n"/>
      <c r="DD43" s="1" t="n"/>
      <c r="DE43" s="1" t="n"/>
      <c r="DF43" s="1" t="n"/>
      <c r="DG43" s="1" t="n"/>
      <c r="DH43" s="1" t="n"/>
      <c r="DI43" s="1" t="n"/>
      <c r="DJ43" s="1" t="n"/>
      <c r="DK43" s="1" t="n"/>
      <c r="DL43" s="1" t="n"/>
      <c r="DM43" s="1" t="n"/>
      <c r="DN43" s="1" t="n"/>
      <c r="DO43" s="1" t="n"/>
      <c r="DP43" s="1" t="n"/>
      <c r="DQ43" s="1" t="n"/>
      <c r="DR43" s="1" t="n"/>
      <c r="DS43" s="1" t="n"/>
      <c r="DT43" s="1" t="n"/>
      <c r="DU43" s="1" t="n"/>
      <c r="DV43" s="1" t="n"/>
      <c r="DW43" s="1" t="n"/>
      <c r="DX43" s="1" t="n"/>
      <c r="DY43" s="1" t="n"/>
      <c r="DZ43" s="1" t="n"/>
      <c r="EA43" s="1" t="n"/>
      <c r="EB43" s="1" t="n"/>
      <c r="EC43" s="1" t="n"/>
      <c r="ED43" s="1" t="n"/>
      <c r="EE43" s="1" t="n"/>
      <c r="EF43" s="1" t="n"/>
      <c r="EG43" s="1" t="n"/>
      <c r="EH43" s="1" t="n"/>
      <c r="EI43" s="1" t="n"/>
      <c r="EJ43" s="1" t="n"/>
      <c r="EK43" s="1" t="n"/>
      <c r="EL43" s="1" t="n"/>
      <c r="EM43" s="1" t="n"/>
      <c r="EN43" s="1" t="n"/>
      <c r="EO43" s="1" t="n"/>
      <c r="EP43" s="1" t="n"/>
      <c r="EQ43" s="1" t="n"/>
      <c r="ER43" s="1" t="n"/>
      <c r="ES43" s="1" t="n"/>
      <c r="ET43" s="1" t="n"/>
      <c r="EU43" s="1" t="n"/>
      <c r="EV43" s="1" t="n"/>
      <c r="EW43" s="1" t="n"/>
      <c r="EX43" s="1" t="n"/>
      <c r="EY43" s="1" t="n"/>
    </row>
    <row r="44" ht="105" customFormat="1" customHeight="1" s="5">
      <c r="A44" s="184" t="inlineStr">
        <is>
          <t>Temps TEC formation initiale du patient à l'auto-questionnaire - électronique (1h/patient) / papier (30min/patient)
si &gt; à 5 auto-questionnaires : électronique (1h30/patient) / papier (45min/patient)</t>
        </is>
      </c>
      <c r="B44" s="9" t="inlineStr">
        <is>
          <t>Par patient</t>
        </is>
      </c>
      <c r="C44" s="9" t="inlineStr">
        <is>
          <t>coût</t>
        </is>
      </c>
      <c r="D44" s="211" t="inlineStr">
        <is>
          <t>électronique 57,5 €
papier 28,75 €
si &gt; 5 auto-questionnaires: 
- électroniques 86,25 €
- papiers 43,12€</t>
        </is>
      </c>
      <c r="E44" s="205" t="n">
        <v>1</v>
      </c>
      <c r="F44" s="210" t="n">
        <v>86.25</v>
      </c>
      <c r="G44" s="206" t="n">
        <v>862.5</v>
      </c>
      <c r="H44" s="139" t="inlineStr">
        <is>
          <t xml:space="preserve">Au-delà de 5 questionnaires un temps supplémentaire 15min par patient (si papier) ou 30 min (si électronique)
</t>
        </is>
      </c>
      <c r="I44" s="1" t="n"/>
      <c r="J44" s="1" t="n"/>
      <c r="K44" s="1" t="n"/>
      <c r="L44" s="1" t="n"/>
      <c r="M44" s="1" t="n"/>
      <c r="N44" s="1" t="n"/>
      <c r="O44" s="1" t="n"/>
      <c r="P44" s="1" t="n"/>
      <c r="Q44" s="1" t="n"/>
      <c r="R44" s="1" t="n"/>
      <c r="S44" s="1" t="n"/>
      <c r="T44" s="1" t="n"/>
      <c r="U44" s="1" t="n"/>
      <c r="V44" s="1" t="n"/>
      <c r="W44" s="1" t="n"/>
      <c r="X44" s="1" t="n"/>
      <c r="Y44" s="1" t="n"/>
      <c r="Z44" s="1" t="n"/>
      <c r="AA44" s="1" t="n"/>
      <c r="AB44" s="1" t="n"/>
      <c r="AC44" s="1" t="n"/>
      <c r="AD44" s="1" t="n"/>
      <c r="AE44" s="1" t="n"/>
      <c r="AF44" s="1" t="n"/>
      <c r="AG44" s="1" t="n"/>
      <c r="AH44" s="1" t="n"/>
      <c r="AI44" s="1" t="n"/>
      <c r="AJ44" s="1" t="n"/>
      <c r="AK44" s="1" t="n"/>
      <c r="AL44" s="1" t="n"/>
      <c r="AM44" s="1" t="n"/>
      <c r="AN44" s="1" t="n"/>
      <c r="AO44" s="1" t="n"/>
      <c r="AP44" s="1" t="n"/>
      <c r="AQ44" s="1" t="n"/>
      <c r="AR44" s="1" t="n"/>
      <c r="AS44" s="1" t="n"/>
      <c r="AT44" s="1" t="n"/>
      <c r="AU44" s="1" t="n"/>
      <c r="AV44" s="1" t="n"/>
      <c r="AW44" s="1" t="n"/>
      <c r="AX44" s="1" t="n"/>
      <c r="AY44" s="1" t="n"/>
      <c r="AZ44" s="1" t="n"/>
      <c r="BA44" s="1" t="n"/>
      <c r="BB44" s="1" t="n"/>
      <c r="BC44" s="1" t="n"/>
      <c r="BD44" s="1" t="n"/>
      <c r="BE44" s="1" t="n"/>
      <c r="BF44" s="1" t="n"/>
      <c r="BG44" s="1" t="n"/>
      <c r="BH44" s="1" t="n"/>
      <c r="BI44" s="1" t="n"/>
      <c r="BJ44" s="1" t="n"/>
      <c r="BK44" s="1" t="n"/>
      <c r="BL44" s="1" t="n"/>
      <c r="BM44" s="1" t="n"/>
      <c r="BN44" s="1" t="n"/>
      <c r="BO44" s="1" t="n"/>
      <c r="BP44" s="1" t="n"/>
      <c r="BQ44" s="1" t="n"/>
      <c r="BR44" s="1" t="n"/>
      <c r="BS44" s="1" t="n"/>
      <c r="BT44" s="1" t="n"/>
      <c r="BU44" s="1" t="n"/>
      <c r="BV44" s="1" t="n"/>
      <c r="BW44" s="1" t="n"/>
      <c r="BX44" s="1" t="n"/>
      <c r="BY44" s="1" t="n"/>
      <c r="BZ44" s="1" t="n"/>
      <c r="CA44" s="1" t="n"/>
      <c r="CB44" s="1" t="n"/>
      <c r="CC44" s="1" t="n"/>
      <c r="CD44" s="1" t="n"/>
      <c r="CE44" s="1" t="n"/>
      <c r="CF44" s="1" t="n"/>
      <c r="CG44" s="1" t="n"/>
      <c r="CH44" s="1" t="n"/>
      <c r="CI44" s="1" t="n"/>
      <c r="CJ44" s="1" t="n"/>
      <c r="CK44" s="1" t="n"/>
      <c r="CL44" s="1" t="n"/>
      <c r="CM44" s="1" t="n"/>
      <c r="CN44" s="1" t="n"/>
      <c r="CO44" s="1" t="n"/>
      <c r="CP44" s="1" t="n"/>
      <c r="CQ44" s="1" t="n"/>
      <c r="CR44" s="1" t="n"/>
      <c r="CS44" s="1" t="n"/>
      <c r="CT44" s="1" t="n"/>
      <c r="CU44" s="1" t="n"/>
      <c r="CV44" s="1" t="n"/>
      <c r="CW44" s="1" t="n"/>
      <c r="CX44" s="1" t="n"/>
      <c r="CY44" s="1" t="n"/>
      <c r="CZ44" s="1" t="n"/>
      <c r="DA44" s="1" t="n"/>
      <c r="DB44" s="1" t="n"/>
      <c r="DC44" s="1" t="n"/>
      <c r="DD44" s="1" t="n"/>
      <c r="DE44" s="1" t="n"/>
      <c r="DF44" s="1" t="n"/>
      <c r="DG44" s="1" t="n"/>
      <c r="DH44" s="1" t="n"/>
      <c r="DI44" s="1" t="n"/>
      <c r="DJ44" s="1" t="n"/>
      <c r="DK44" s="1" t="n"/>
      <c r="DL44" s="1" t="n"/>
      <c r="DM44" s="1" t="n"/>
      <c r="DN44" s="1" t="n"/>
      <c r="DO44" s="1" t="n"/>
      <c r="DP44" s="1" t="n"/>
      <c r="DQ44" s="1" t="n"/>
      <c r="DR44" s="1" t="n"/>
      <c r="DS44" s="1" t="n"/>
      <c r="DT44" s="1" t="n"/>
      <c r="DU44" s="1" t="n"/>
      <c r="DV44" s="1" t="n"/>
      <c r="DW44" s="1" t="n"/>
      <c r="DX44" s="1" t="n"/>
      <c r="DY44" s="1" t="n"/>
      <c r="DZ44" s="1" t="n"/>
      <c r="EA44" s="1" t="n"/>
      <c r="EB44" s="1" t="n"/>
      <c r="EC44" s="1" t="n"/>
      <c r="ED44" s="1" t="n"/>
      <c r="EE44" s="1" t="n"/>
      <c r="EF44" s="1" t="n"/>
      <c r="EG44" s="1" t="n"/>
      <c r="EH44" s="1" t="n"/>
      <c r="EI44" s="1" t="n"/>
      <c r="EJ44" s="1" t="n"/>
      <c r="EK44" s="1" t="n"/>
      <c r="EL44" s="1" t="n"/>
      <c r="EM44" s="1" t="n"/>
      <c r="EN44" s="1" t="n"/>
      <c r="EO44" s="1" t="n"/>
      <c r="EP44" s="1" t="n"/>
      <c r="EQ44" s="1" t="n"/>
      <c r="ER44" s="1" t="n"/>
      <c r="ES44" s="1" t="n"/>
      <c r="ET44" s="1" t="n"/>
      <c r="EU44" s="1" t="n"/>
      <c r="EV44" s="1" t="n"/>
      <c r="EW44" s="1" t="n"/>
      <c r="EX44" s="1" t="n"/>
      <c r="EY44" s="1" t="n"/>
    </row>
    <row r="45" ht="114.75" customFormat="1" customHeight="1" s="5">
      <c r="A45" s="183" t="inlineStr">
        <is>
          <t>Temps TEC pour la gestion des kits de prélèvement.
1h/ visite avec prélèvements centralisés.
Lister les visites</t>
        </is>
      </c>
      <c r="B45" s="9" t="inlineStr">
        <is>
          <t xml:space="preserve">Par visite 
</t>
        </is>
      </c>
      <c r="C45" s="9" t="inlineStr">
        <is>
          <t>coût</t>
        </is>
      </c>
      <c r="D45" s="204" t="n">
        <v>57.5</v>
      </c>
      <c r="E45" s="205" t="n">
        <v>5</v>
      </c>
      <c r="F45" s="210" t="n">
        <v>287.5</v>
      </c>
      <c r="G45" s="206" t="n">
        <v>2875</v>
      </c>
      <c r="H45" s="139" t="inlineStr">
        <is>
          <t xml:space="preserve">Calcul effectué en pratique par visite (et non par prélèvement). Cette ligne est complémentaire de celle "Temps tech labo" et ne s'y substitue pas. Cette activité est réalisée essentiellement par les services de soin d'investigation clinique (et/ou structure dédiée).  Elle correspond à la gestion des kits de prélèvement pour le laboratoire centralisé au sens : réception, inventaire, suivi des dates de péremption et du stock, demande de réapprovisionnement, destruction, préparation pour l'équipe soignante,etc. Le temps TEC gestion des kits de prélèvement est 1h par patient par visite et non par prélèvement; la  mention « si non pris en compte dans la partie anatomo pathologie » doit être retirée.
Le temps TEC ici est différent du technicage (cf. explication dans le mode opératoire).
1h/visite  , peu importe le nombre de prélèvements </t>
        </is>
      </c>
      <c r="I45" s="1" t="n"/>
      <c r="J45" s="1" t="n"/>
      <c r="K45" s="1" t="n"/>
      <c r="L45" s="1" t="n"/>
      <c r="M45" s="1" t="n"/>
      <c r="N45" s="1" t="n"/>
      <c r="O45" s="1" t="n"/>
      <c r="P45" s="1" t="n"/>
      <c r="Q45" s="1" t="n"/>
      <c r="R45" s="1" t="n"/>
      <c r="S45" s="1" t="n"/>
      <c r="T45" s="1" t="n"/>
      <c r="U45" s="1" t="n"/>
      <c r="V45" s="1" t="n"/>
      <c r="W45" s="1" t="n"/>
      <c r="X45" s="1" t="n"/>
      <c r="Y45" s="1" t="n"/>
      <c r="Z45" s="1" t="n"/>
      <c r="AA45" s="1" t="n"/>
      <c r="AB45" s="1" t="n"/>
      <c r="AC45" s="1" t="n"/>
      <c r="AD45" s="1" t="n"/>
      <c r="AE45" s="1" t="n"/>
      <c r="AF45" s="1" t="n"/>
      <c r="AG45" s="1" t="n"/>
      <c r="AH45" s="1" t="n"/>
      <c r="AI45" s="1" t="n"/>
      <c r="AJ45" s="1" t="n"/>
      <c r="AK45" s="1" t="n"/>
      <c r="AL45" s="1" t="n"/>
      <c r="AM45" s="1" t="n"/>
      <c r="AN45" s="1" t="n"/>
      <c r="AO45" s="1" t="n"/>
      <c r="AP45" s="1" t="n"/>
      <c r="AQ45" s="1" t="n"/>
      <c r="AR45" s="1" t="n"/>
      <c r="AS45" s="1" t="n"/>
      <c r="AT45" s="1" t="n"/>
      <c r="AU45" s="1" t="n"/>
      <c r="AV45" s="1" t="n"/>
      <c r="AW45" s="1" t="n"/>
      <c r="AX45" s="1" t="n"/>
      <c r="AY45" s="1" t="n"/>
      <c r="AZ45" s="1" t="n"/>
      <c r="BA45" s="1" t="n"/>
      <c r="BB45" s="1" t="n"/>
      <c r="BC45" s="1" t="n"/>
      <c r="BD45" s="1" t="n"/>
      <c r="BE45" s="1" t="n"/>
      <c r="BF45" s="1" t="n"/>
      <c r="BG45" s="1" t="n"/>
      <c r="BH45" s="1" t="n"/>
      <c r="BI45" s="1" t="n"/>
      <c r="BJ45" s="1" t="n"/>
      <c r="BK45" s="1" t="n"/>
      <c r="BL45" s="1" t="n"/>
      <c r="BM45" s="1" t="n"/>
      <c r="BN45" s="1" t="n"/>
      <c r="BO45" s="1" t="n"/>
      <c r="BP45" s="1" t="n"/>
      <c r="BQ45" s="1" t="n"/>
      <c r="BR45" s="1" t="n"/>
      <c r="BS45" s="1" t="n"/>
      <c r="BT45" s="1" t="n"/>
      <c r="BU45" s="1" t="n"/>
      <c r="BV45" s="1" t="n"/>
      <c r="BW45" s="1" t="n"/>
      <c r="BX45" s="1" t="n"/>
      <c r="BY45" s="1" t="n"/>
      <c r="BZ45" s="1" t="n"/>
      <c r="CA45" s="1" t="n"/>
      <c r="CB45" s="1" t="n"/>
      <c r="CC45" s="1" t="n"/>
      <c r="CD45" s="1" t="n"/>
      <c r="CE45" s="1" t="n"/>
      <c r="CF45" s="1" t="n"/>
      <c r="CG45" s="1" t="n"/>
      <c r="CH45" s="1" t="n"/>
      <c r="CI45" s="1" t="n"/>
      <c r="CJ45" s="1" t="n"/>
      <c r="CK45" s="1" t="n"/>
      <c r="CL45" s="1" t="n"/>
      <c r="CM45" s="1" t="n"/>
      <c r="CN45" s="1" t="n"/>
      <c r="CO45" s="1" t="n"/>
      <c r="CP45" s="1" t="n"/>
      <c r="CQ45" s="1" t="n"/>
      <c r="CR45" s="1" t="n"/>
      <c r="CS45" s="1" t="n"/>
      <c r="CT45" s="1" t="n"/>
      <c r="CU45" s="1" t="n"/>
      <c r="CV45" s="1" t="n"/>
      <c r="CW45" s="1" t="n"/>
      <c r="CX45" s="1" t="n"/>
      <c r="CY45" s="1" t="n"/>
      <c r="CZ45" s="1" t="n"/>
      <c r="DA45" s="1" t="n"/>
      <c r="DB45" s="1" t="n"/>
      <c r="DC45" s="1" t="n"/>
      <c r="DD45" s="1" t="n"/>
      <c r="DE45" s="1" t="n"/>
      <c r="DF45" s="1" t="n"/>
      <c r="DG45" s="1" t="n"/>
      <c r="DH45" s="1" t="n"/>
      <c r="DI45" s="1" t="n"/>
      <c r="DJ45" s="1" t="n"/>
      <c r="DK45" s="1" t="n"/>
      <c r="DL45" s="1" t="n"/>
      <c r="DM45" s="1" t="n"/>
      <c r="DN45" s="1" t="n"/>
      <c r="DO45" s="1" t="n"/>
      <c r="DP45" s="1" t="n"/>
      <c r="DQ45" s="1" t="n"/>
      <c r="DR45" s="1" t="n"/>
      <c r="DS45" s="1" t="n"/>
      <c r="DT45" s="1" t="n"/>
      <c r="DU45" s="1" t="n"/>
      <c r="DV45" s="1" t="n"/>
      <c r="DW45" s="1" t="n"/>
      <c r="DX45" s="1" t="n"/>
      <c r="DY45" s="1" t="n"/>
      <c r="DZ45" s="1" t="n"/>
      <c r="EA45" s="1" t="n"/>
      <c r="EB45" s="1" t="n"/>
      <c r="EC45" s="1" t="n"/>
      <c r="ED45" s="1" t="n"/>
      <c r="EE45" s="1" t="n"/>
      <c r="EF45" s="1" t="n"/>
      <c r="EG45" s="1" t="n"/>
      <c r="EH45" s="1" t="n"/>
      <c r="EI45" s="1" t="n"/>
      <c r="EJ45" s="1" t="n"/>
      <c r="EK45" s="1" t="n"/>
      <c r="EL45" s="1" t="n"/>
      <c r="EM45" s="1" t="n"/>
      <c r="EN45" s="1" t="n"/>
      <c r="EO45" s="1" t="n"/>
      <c r="EP45" s="1" t="n"/>
      <c r="EQ45" s="1" t="n"/>
      <c r="ER45" s="1" t="n"/>
      <c r="ES45" s="1" t="n"/>
      <c r="ET45" s="1" t="n"/>
      <c r="EU45" s="1" t="n"/>
      <c r="EV45" s="1" t="n"/>
      <c r="EW45" s="1" t="n"/>
      <c r="EX45" s="1" t="n"/>
      <c r="EY45" s="1" t="n"/>
    </row>
    <row r="46" ht="45" customFormat="1" customHeight="1" s="5">
      <c r="A46" s="68" t="inlineStr">
        <is>
          <t xml:space="preserve">Temps TEC appel IVRS/IWRS
Lister les visites
</t>
        </is>
      </c>
      <c r="B46" s="33" t="inlineStr">
        <is>
          <t>au prorata</t>
        </is>
      </c>
      <c r="C46" s="11" t="inlineStr">
        <is>
          <t>coût</t>
        </is>
      </c>
      <c r="D46" s="204" t="n">
        <v>11.24</v>
      </c>
      <c r="E46" s="205" t="n">
        <v>5</v>
      </c>
      <c r="F46" s="210" t="n">
        <v>56.2</v>
      </c>
      <c r="G46" s="206" t="n">
        <v>562</v>
      </c>
      <c r="H46" s="139" t="inlineStr">
        <is>
          <t xml:space="preserve">A facturer au réel au prorata du nombre d'appels : exemple si 2 appels pour le J1 comptabiliser 2 appels </t>
        </is>
      </c>
      <c r="I46" s="1" t="n"/>
      <c r="J46" s="1" t="n"/>
      <c r="K46" s="1" t="n"/>
      <c r="L46" s="1" t="n"/>
      <c r="M46" s="1" t="n"/>
      <c r="N46" s="1" t="n"/>
      <c r="O46" s="1" t="n"/>
      <c r="P46" s="1" t="n"/>
      <c r="Q46" s="1" t="n"/>
      <c r="R46" s="1" t="n"/>
      <c r="S46" s="1" t="n"/>
      <c r="T46" s="1" t="n"/>
      <c r="U46" s="1" t="n"/>
      <c r="V46" s="1" t="n"/>
      <c r="W46" s="1" t="n"/>
      <c r="X46" s="1" t="n"/>
      <c r="Y46" s="1" t="n"/>
      <c r="Z46" s="1" t="n"/>
      <c r="AA46" s="1" t="n"/>
      <c r="AB46" s="1" t="n"/>
      <c r="AC46" s="1" t="n"/>
      <c r="AD46" s="1" t="n"/>
      <c r="AE46" s="1" t="n"/>
      <c r="AF46" s="1" t="n"/>
      <c r="AG46" s="1" t="n"/>
      <c r="AH46" s="1" t="n"/>
      <c r="AI46" s="1" t="n"/>
      <c r="AJ46" s="1" t="n"/>
      <c r="AK46" s="1" t="n"/>
      <c r="AL46" s="1" t="n"/>
      <c r="AM46" s="1" t="n"/>
      <c r="AN46" s="1" t="n"/>
      <c r="AO46" s="1" t="n"/>
      <c r="AP46" s="1" t="n"/>
      <c r="AQ46" s="1" t="n"/>
      <c r="AR46" s="1" t="n"/>
      <c r="AS46" s="1" t="n"/>
      <c r="AT46" s="1" t="n"/>
      <c r="AU46" s="1" t="n"/>
      <c r="AV46" s="1" t="n"/>
      <c r="AW46" s="1" t="n"/>
      <c r="AX46" s="1" t="n"/>
      <c r="AY46" s="1" t="n"/>
      <c r="AZ46" s="1" t="n"/>
      <c r="BA46" s="1" t="n"/>
      <c r="BB46" s="1" t="n"/>
      <c r="BC46" s="1" t="n"/>
      <c r="BD46" s="1" t="n"/>
      <c r="BE46" s="1" t="n"/>
      <c r="BF46" s="1" t="n"/>
      <c r="BG46" s="1" t="n"/>
      <c r="BH46" s="1" t="n"/>
      <c r="BI46" s="1" t="n"/>
      <c r="BJ46" s="1" t="n"/>
      <c r="BK46" s="1" t="n"/>
      <c r="BL46" s="1" t="n"/>
      <c r="BM46" s="1" t="n"/>
      <c r="BN46" s="1" t="n"/>
      <c r="BO46" s="1" t="n"/>
      <c r="BP46" s="1" t="n"/>
      <c r="BQ46" s="1" t="n"/>
      <c r="BR46" s="1" t="n"/>
      <c r="BS46" s="1" t="n"/>
      <c r="BT46" s="1" t="n"/>
      <c r="BU46" s="1" t="n"/>
      <c r="BV46" s="1" t="n"/>
      <c r="BW46" s="1" t="n"/>
      <c r="BX46" s="1" t="n"/>
      <c r="BY46" s="1" t="n"/>
      <c r="BZ46" s="1" t="n"/>
      <c r="CA46" s="1" t="n"/>
      <c r="CB46" s="1" t="n"/>
      <c r="CC46" s="1" t="n"/>
      <c r="CD46" s="1" t="n"/>
      <c r="CE46" s="1" t="n"/>
      <c r="CF46" s="1" t="n"/>
      <c r="CG46" s="1" t="n"/>
      <c r="CH46" s="1" t="n"/>
      <c r="CI46" s="1" t="n"/>
      <c r="CJ46" s="1" t="n"/>
      <c r="CK46" s="1" t="n"/>
      <c r="CL46" s="1" t="n"/>
      <c r="CM46" s="1" t="n"/>
      <c r="CN46" s="1" t="n"/>
      <c r="CO46" s="1" t="n"/>
      <c r="CP46" s="1" t="n"/>
      <c r="CQ46" s="1" t="n"/>
      <c r="CR46" s="1" t="n"/>
      <c r="CS46" s="1" t="n"/>
      <c r="CT46" s="1" t="n"/>
      <c r="CU46" s="1" t="n"/>
      <c r="CV46" s="1" t="n"/>
      <c r="CW46" s="1" t="n"/>
      <c r="CX46" s="1" t="n"/>
      <c r="CY46" s="1" t="n"/>
      <c r="CZ46" s="1" t="n"/>
      <c r="DA46" s="1" t="n"/>
      <c r="DB46" s="1" t="n"/>
      <c r="DC46" s="1" t="n"/>
      <c r="DD46" s="1" t="n"/>
      <c r="DE46" s="1" t="n"/>
      <c r="DF46" s="1" t="n"/>
      <c r="DG46" s="1" t="n"/>
      <c r="DH46" s="1" t="n"/>
      <c r="DI46" s="1" t="n"/>
      <c r="DJ46" s="1" t="n"/>
      <c r="DK46" s="1" t="n"/>
      <c r="DL46" s="1" t="n"/>
      <c r="DM46" s="1" t="n"/>
      <c r="DN46" s="1" t="n"/>
      <c r="DO46" s="1" t="n"/>
      <c r="DP46" s="1" t="n"/>
      <c r="DQ46" s="1" t="n"/>
      <c r="DR46" s="1" t="n"/>
      <c r="DS46" s="1" t="n"/>
      <c r="DT46" s="1" t="n"/>
      <c r="DU46" s="1" t="n"/>
      <c r="DV46" s="1" t="n"/>
      <c r="DW46" s="1" t="n"/>
      <c r="DX46" s="1" t="n"/>
      <c r="DY46" s="1" t="n"/>
      <c r="DZ46" s="1" t="n"/>
      <c r="EA46" s="1" t="n"/>
      <c r="EB46" s="1" t="n"/>
      <c r="EC46" s="1" t="n"/>
      <c r="ED46" s="1" t="n"/>
      <c r="EE46" s="1" t="n"/>
      <c r="EF46" s="1" t="n"/>
      <c r="EG46" s="1" t="n"/>
      <c r="EH46" s="1" t="n"/>
      <c r="EI46" s="1" t="n"/>
      <c r="EJ46" s="1" t="n"/>
      <c r="EK46" s="1" t="n"/>
      <c r="EL46" s="1" t="n"/>
      <c r="EM46" s="1" t="n"/>
      <c r="EN46" s="1" t="n"/>
      <c r="EO46" s="1" t="n"/>
      <c r="EP46" s="1" t="n"/>
      <c r="EQ46" s="1" t="n"/>
      <c r="ER46" s="1" t="n"/>
      <c r="ES46" s="1" t="n"/>
      <c r="ET46" s="1" t="n"/>
      <c r="EU46" s="1" t="n"/>
      <c r="EV46" s="1" t="n"/>
      <c r="EW46" s="1" t="n"/>
      <c r="EX46" s="1" t="n"/>
      <c r="EY46" s="1" t="n"/>
    </row>
    <row r="47" ht="102" customFormat="1" customHeight="1" s="5">
      <c r="A47" s="68" t="inlineStr">
        <is>
          <t>Temps TEC pour la gestion des remboursements des frais patients (repas, hotel patient et accompagnant, transport)
20 min si l’intervention se fait sans utilisation d’une plateforme
50 min si l’intervention se fait via l’utilisation d’une plateforme
Lister les visites</t>
        </is>
      </c>
      <c r="B47" s="45" t="inlineStr">
        <is>
          <t xml:space="preserve">Par visite 
</t>
        </is>
      </c>
      <c r="C47" s="46" t="inlineStr">
        <is>
          <t>coût</t>
        </is>
      </c>
      <c r="D47" s="208" t="inlineStr">
        <is>
          <t xml:space="preserve">sans plateforme : 19,17 €
avec plateforme : 47,92 € </t>
        </is>
      </c>
      <c r="E47" s="212" t="n">
        <v>5</v>
      </c>
      <c r="F47" s="210" t="n">
        <v>239.6</v>
      </c>
      <c r="G47" s="206" t="n">
        <v>2396</v>
      </c>
      <c r="H47" s="139" t="inlineStr">
        <is>
          <t xml:space="preserve">Gestion des remboursements de frais des patients, si applicable :
- 20 min si l’intervention se fait sans utilisation d’une plateforme ;
- 50 min si l’intervention se fait via l’utilisation d’une plateforme.
Applicable uniquement dans le cadre des visites liées au protocole de la recherche et donc supplémentaires à la prise en charge classique.
En cas de non utilisation d'une plateforme, le promoteur doit fournir des bons papiers </t>
        </is>
      </c>
    </row>
    <row r="48" ht="36.75" customFormat="1" customHeight="1" s="5">
      <c r="A48" s="213" t="inlineStr">
        <is>
          <t>Estimation du temps infirmier -52€/h</t>
        </is>
      </c>
      <c r="B48" s="195" t="n"/>
      <c r="C48" s="195" t="n"/>
      <c r="D48" s="195" t="n"/>
      <c r="E48" s="195" t="n"/>
      <c r="F48" s="196" t="n"/>
      <c r="G48" s="120" t="n"/>
      <c r="H48" s="139" t="n"/>
    </row>
    <row r="49" ht="89.25" customFormat="1" customHeight="1" s="4">
      <c r="A49" s="214" t="inlineStr">
        <is>
          <t>Les nomenclatures existantes prennent en compte la prise en charge courante du patient
Le temps infirmier rajouté valorise la réalisation de ces actes dans le cadre contraint du protocole en sus de la pratique standard :
=&gt; respect des exigences du protocole ;
=&gt; respect des exigences du manuel de laboratoire ;
=&gt; utilisation des kits spécifiques du protocole ;
=&gt; remplissage des formulaires du protocole…
Utilisation de la tarification AMI.</t>
        </is>
      </c>
      <c r="B49" s="195" t="n"/>
      <c r="C49" s="195" t="n"/>
      <c r="D49" s="195" t="n"/>
      <c r="E49" s="195" t="n"/>
      <c r="F49" s="196" t="n"/>
      <c r="G49" s="121" t="n"/>
      <c r="H49" s="180" t="inlineStr">
        <is>
          <t>Lors de l'intervention de l'IDE dans le protocole, toujours comptabiliser un acte AMI dans la section "Actes nomenclaturés".
Si le prélèvement est envoyé en centralisé, ajouter 15 min de temps IDE/visite (uniquement pour le central mais pas pour le local). Par ailleurs et pour rappel, les AMI sont codés en intégrant du temps personnel; il est parfois nécessaire d'ajouter du temps personnel pour certains actes (hors actes infirmiers "basiques" comme la pose ou le retrait de cathéter).</t>
        </is>
      </c>
    </row>
    <row r="50" ht="51" customFormat="1" customHeight="1" s="5">
      <c r="A50" s="183" t="inlineStr">
        <is>
          <t>Temps IDE : formation au protocole  initial  
- 100 Euros niveau 1
-  200 Euros niveau 2
-  300 Euros niveau 3</t>
        </is>
      </c>
      <c r="B50" s="9" t="inlineStr">
        <is>
          <t xml:space="preserve">par établissement </t>
        </is>
      </c>
      <c r="C50" s="13" t="inlineStr">
        <is>
          <t>coût</t>
        </is>
      </c>
      <c r="D50" s="215" t="inlineStr">
        <is>
          <t>niveau 1: 100 €
niveau 2: 200 €
niveau 3: 300 €</t>
        </is>
      </c>
      <c r="E50" s="216" t="n">
        <v>1</v>
      </c>
      <c r="F50" s="201" t="n">
        <v>200</v>
      </c>
      <c r="G50" s="217" t="n">
        <v>200</v>
      </c>
      <c r="H50" s="139" t="inlineStr">
        <is>
          <t xml:space="preserve">1 forfait pour la formation de l'ensemble des IDE des différents services impliqués dans l'étude 
</t>
        </is>
      </c>
      <c r="I50" s="1" t="n"/>
      <c r="J50" s="1" t="n"/>
      <c r="K50" s="1" t="n"/>
      <c r="L50" s="1" t="n"/>
      <c r="M50" s="1" t="n"/>
      <c r="N50" s="1" t="n"/>
      <c r="O50" s="1" t="n"/>
      <c r="P50" s="1" t="n"/>
      <c r="Q50" s="1" t="n"/>
      <c r="R50" s="1" t="n"/>
      <c r="S50" s="1" t="n"/>
      <c r="T50" s="1" t="n"/>
      <c r="U50" s="1" t="n"/>
      <c r="V50" s="1" t="n"/>
      <c r="W50" s="1" t="n"/>
      <c r="X50" s="1" t="n"/>
      <c r="Y50" s="1" t="n"/>
      <c r="Z50" s="1" t="n"/>
      <c r="AA50" s="1" t="n"/>
      <c r="AB50" s="1" t="n"/>
      <c r="AC50" s="1" t="n"/>
      <c r="AD50" s="1" t="n"/>
      <c r="AE50" s="1" t="n"/>
      <c r="AF50" s="1" t="n"/>
      <c r="AG50" s="1" t="n"/>
      <c r="AH50" s="1" t="n"/>
      <c r="AI50" s="1" t="n"/>
      <c r="AJ50" s="1" t="n"/>
      <c r="AK50" s="1" t="n"/>
      <c r="AL50" s="1" t="n"/>
      <c r="AM50" s="1" t="n"/>
      <c r="AN50" s="1" t="n"/>
      <c r="AO50" s="1" t="n"/>
      <c r="AP50" s="1" t="n"/>
      <c r="AQ50" s="1" t="n"/>
      <c r="AR50" s="1" t="n"/>
      <c r="AS50" s="1" t="n"/>
      <c r="AT50" s="1" t="n"/>
      <c r="AU50" s="1" t="n"/>
      <c r="AV50" s="1" t="n"/>
      <c r="AW50" s="1" t="n"/>
      <c r="AX50" s="1" t="n"/>
      <c r="AY50" s="1" t="n"/>
      <c r="AZ50" s="1" t="n"/>
      <c r="BA50" s="1" t="n"/>
      <c r="BB50" s="1" t="n"/>
      <c r="BC50" s="1" t="n"/>
      <c r="BD50" s="1" t="n"/>
      <c r="BE50" s="1" t="n"/>
      <c r="BF50" s="1" t="n"/>
      <c r="BG50" s="1" t="n"/>
      <c r="BH50" s="1" t="n"/>
      <c r="BI50" s="1" t="n"/>
      <c r="BJ50" s="1" t="n"/>
      <c r="BK50" s="1" t="n"/>
      <c r="BL50" s="1" t="n"/>
      <c r="BM50" s="1" t="n"/>
      <c r="BN50" s="1" t="n"/>
      <c r="BO50" s="1" t="n"/>
      <c r="BP50" s="1" t="n"/>
      <c r="BQ50" s="1" t="n"/>
      <c r="BR50" s="1" t="n"/>
      <c r="BS50" s="1" t="n"/>
      <c r="BT50" s="1" t="n"/>
      <c r="BU50" s="1" t="n"/>
      <c r="BV50" s="1" t="n"/>
      <c r="BW50" s="1" t="n"/>
      <c r="BX50" s="1" t="n"/>
      <c r="BY50" s="1" t="n"/>
      <c r="BZ50" s="1" t="n"/>
      <c r="CA50" s="1" t="n"/>
      <c r="CB50" s="1" t="n"/>
      <c r="CC50" s="1" t="n"/>
      <c r="CD50" s="1" t="n"/>
      <c r="CE50" s="1" t="n"/>
      <c r="CF50" s="1" t="n"/>
      <c r="CG50" s="1" t="n"/>
      <c r="CH50" s="1" t="n"/>
      <c r="CI50" s="1" t="n"/>
      <c r="CJ50" s="1" t="n"/>
      <c r="CK50" s="1" t="n"/>
      <c r="CL50" s="1" t="n"/>
      <c r="CM50" s="1" t="n"/>
      <c r="CN50" s="1" t="n"/>
      <c r="CO50" s="1" t="n"/>
      <c r="CP50" s="1" t="n"/>
      <c r="CQ50" s="1" t="n"/>
      <c r="CR50" s="1" t="n"/>
      <c r="CS50" s="1" t="n"/>
      <c r="CT50" s="1" t="n"/>
      <c r="CU50" s="1" t="n"/>
      <c r="CV50" s="1" t="n"/>
      <c r="CW50" s="1" t="n"/>
      <c r="CX50" s="1" t="n"/>
      <c r="CY50" s="1" t="n"/>
      <c r="CZ50" s="1" t="n"/>
      <c r="DA50" s="1" t="n"/>
      <c r="DB50" s="1" t="n"/>
      <c r="DC50" s="1" t="n"/>
      <c r="DD50" s="1" t="n"/>
      <c r="DE50" s="1" t="n"/>
      <c r="DF50" s="1" t="n"/>
      <c r="DG50" s="1" t="n"/>
      <c r="DH50" s="1" t="n"/>
      <c r="DI50" s="1" t="n"/>
      <c r="DJ50" s="1" t="n"/>
      <c r="DK50" s="1" t="n"/>
      <c r="DL50" s="1" t="n"/>
      <c r="DM50" s="1" t="n"/>
      <c r="DN50" s="1" t="n"/>
      <c r="DO50" s="1" t="n"/>
      <c r="DP50" s="1" t="n"/>
      <c r="DQ50" s="1" t="n"/>
      <c r="DR50" s="1" t="n"/>
      <c r="DS50" s="1" t="n"/>
      <c r="DT50" s="1" t="n"/>
      <c r="DU50" s="1" t="n"/>
      <c r="DV50" s="1" t="n"/>
      <c r="DW50" s="1" t="n"/>
      <c r="DX50" s="1" t="n"/>
      <c r="DY50" s="1" t="n"/>
      <c r="DZ50" s="1" t="n"/>
      <c r="EA50" s="1" t="n"/>
      <c r="EB50" s="1" t="n"/>
      <c r="EC50" s="1" t="n"/>
      <c r="ED50" s="1" t="n"/>
      <c r="EE50" s="1" t="n"/>
      <c r="EF50" s="1" t="n"/>
      <c r="EG50" s="1" t="n"/>
      <c r="EH50" s="1" t="n"/>
      <c r="EI50" s="1" t="n"/>
      <c r="EJ50" s="1" t="n"/>
      <c r="EK50" s="1" t="n"/>
      <c r="EL50" s="1" t="n"/>
      <c r="EM50" s="1" t="n"/>
      <c r="EN50" s="1" t="n"/>
      <c r="EO50" s="1" t="n"/>
      <c r="EP50" s="1" t="n"/>
      <c r="EQ50" s="1" t="n"/>
      <c r="ER50" s="1" t="n"/>
      <c r="ES50" s="1" t="n"/>
      <c r="ET50" s="1" t="n"/>
      <c r="EU50" s="1" t="n"/>
      <c r="EV50" s="1" t="n"/>
      <c r="EW50" s="1" t="n"/>
      <c r="EX50" s="1" t="n"/>
      <c r="EY50" s="1" t="n"/>
    </row>
    <row r="51" ht="140.25" customFormat="1" customHeight="1" s="4">
      <c r="A51" s="184" t="inlineStr">
        <is>
          <t>Temps Infirmier pour prélèvements sanguins pour l'analyse centralisée - 15min
Lister les visites</t>
        </is>
      </c>
      <c r="B51" s="9" t="inlineStr">
        <is>
          <t>Par visite</t>
        </is>
      </c>
      <c r="C51" s="9" t="inlineStr">
        <is>
          <t>coût</t>
        </is>
      </c>
      <c r="D51" s="218" t="n">
        <v>13</v>
      </c>
      <c r="E51" s="219" t="n">
        <v>5</v>
      </c>
      <c r="F51" s="208" t="n">
        <v>65</v>
      </c>
      <c r="G51" s="206" t="n">
        <v>650</v>
      </c>
      <c r="H51" s="135" t="inlineStr">
        <is>
          <t>Ne pas comptabiliser un temps IDE pour des prélèvements analysés en local.  Si lors d’une même visite  des prélèvements pour un laboratoire centralisé sont réalisés : il faut créer 1 ligne par type de prélèvement.
Les autres prélèvements (PK, PD, ADA,....) sont à indiquer en ligne 60 et doivent être comptabilisé par tube et par point de prélèvement.
15mn/ prélèvements/visite (quel que soit le nombre de tubes)  Cette ligne n'est applicable uniquement lorsque les analyses biochimie, hématologie, coagulation, marqueurs tumoraux etc… sont réalisés en centralisés .
Autrement dit tout ce qui peut-être réalisé en local mais que le promoteur choisi de réaliser en centralisé</t>
        </is>
      </c>
    </row>
    <row r="52" ht="76.5" customFormat="1" customHeight="1" s="4">
      <c r="A52" s="184" t="inlineStr">
        <is>
          <t>Temps Infirmier pour prélèvements d'urine pour l'analyse centralisée - 15min
Lister les visites</t>
        </is>
      </c>
      <c r="B52" s="9" t="inlineStr">
        <is>
          <t>Par visite</t>
        </is>
      </c>
      <c r="C52" s="9" t="inlineStr">
        <is>
          <t>coût</t>
        </is>
      </c>
      <c r="D52" s="218" t="n">
        <v>13</v>
      </c>
      <c r="E52" s="219" t="n">
        <v>5</v>
      </c>
      <c r="F52" s="208" t="n">
        <v>65</v>
      </c>
      <c r="G52" s="206" t="n">
        <v>650</v>
      </c>
      <c r="H52" s="135" t="inlineStr">
        <is>
          <t xml:space="preserve">
Si les prélèvements urinaires sont envoyés à un laboratoire centralisé, dans ce cas 15 minutes de temps IDE/visite doivent être comptabilisé (ne pas comptabiliser un temps IDE pour des prélèvements analysés en local ).  Si lors d’une même visite des prélèvements sanguins et urinaires pour un laboratoire centralisé sont réalisés : il faut créer 1 ligne par type de prélèvement.
Si analyse d'urine, à duppliquer pour selles /salive réalisée en central </t>
        </is>
      </c>
    </row>
    <row r="53" ht="30" customFormat="1" customHeight="1" s="4">
      <c r="A53" s="183" t="inlineStr">
        <is>
          <t>Temps Infirmier pour la mesure des signes vitaux - 15min
Lister les visites</t>
        </is>
      </c>
      <c r="B53" s="9" t="inlineStr">
        <is>
          <t>Par mesure des signes vitaux</t>
        </is>
      </c>
      <c r="C53" s="9" t="inlineStr">
        <is>
          <t>coût</t>
        </is>
      </c>
      <c r="D53" s="218" t="n">
        <v>13</v>
      </c>
      <c r="E53" s="219" t="n">
        <v>5</v>
      </c>
      <c r="F53" s="208" t="n">
        <v>65</v>
      </c>
      <c r="G53" s="206" t="n">
        <v>650</v>
      </c>
      <c r="H53" s="135" t="inlineStr">
        <is>
          <t xml:space="preserve">L'item est par mesure de signes vitaux donc si le protocole demande 3 prises de tension et seule la moyenne est reportée dans le CRF on comptera 3 prises pour le timepoint en question </t>
        </is>
      </c>
    </row>
    <row r="54" ht="60" customFormat="1" customHeight="1" s="4">
      <c r="A54" s="184" t="inlineStr">
        <is>
          <t xml:space="preserve">Temps Infirmier pour injection du traitement de l'étude - 15min
Lister les visites
</t>
        </is>
      </c>
      <c r="B54" s="9" t="inlineStr">
        <is>
          <t xml:space="preserve">Par injection </t>
        </is>
      </c>
      <c r="C54" s="9" t="inlineStr">
        <is>
          <t>coût</t>
        </is>
      </c>
      <c r="D54" s="218" t="n">
        <v>13</v>
      </c>
      <c r="E54" s="219" t="n">
        <v>5</v>
      </c>
      <c r="F54" s="208" t="n">
        <v>65</v>
      </c>
      <c r="G54" s="206" t="n">
        <v>650</v>
      </c>
      <c r="H54" s="139" t="inlineStr">
        <is>
          <t>Applicable pour administration sous cutanée , intra-musculaire (introduction d'un fluide sous pression via  une seringue dans l'organisme) 
N'est pas applicable lors d'un traitement par voie orale ou IV</t>
        </is>
      </c>
    </row>
    <row r="55" ht="38.25" customFormat="1" customHeight="1" s="4">
      <c r="A55" s="184" t="inlineStr">
        <is>
          <t>Temps Infirmier pour pose et retrait de perfusion - 30min
Lister les visites</t>
        </is>
      </c>
      <c r="B55" s="9" t="inlineStr">
        <is>
          <t xml:space="preserve">Par pose et retrait </t>
        </is>
      </c>
      <c r="C55" s="9" t="inlineStr">
        <is>
          <t>coût</t>
        </is>
      </c>
      <c r="D55" s="218" t="n">
        <v>26</v>
      </c>
      <c r="E55" s="219" t="n">
        <v>5</v>
      </c>
      <c r="F55" s="208" t="n">
        <v>130</v>
      </c>
      <c r="G55" s="206" t="n">
        <v>1300</v>
      </c>
      <c r="H55" s="139" t="inlineStr">
        <is>
          <t>Dupliquer chaque ligne pour chaque traitement qui s'administre en IV : 
exemple: si le protocole est une association de 2 molécules perfusées IV alors il y aura 1 ligne pour la molécule 1 et 1 ligne pour la molécule 2</t>
        </is>
      </c>
    </row>
    <row r="56" ht="51" customFormat="1" customHeight="1" s="4">
      <c r="A56" s="184" t="inlineStr">
        <is>
          <t>Temps Infirmier pour pose et retrait de cathéter - 30min
Lister les visites</t>
        </is>
      </c>
      <c r="B56" s="9" t="inlineStr">
        <is>
          <t xml:space="preserve">Par pose et retrait </t>
        </is>
      </c>
      <c r="C56" s="9" t="inlineStr">
        <is>
          <t>coût</t>
        </is>
      </c>
      <c r="D56" s="218" t="n">
        <v>26</v>
      </c>
      <c r="E56" s="219" t="n">
        <v>5</v>
      </c>
      <c r="F56" s="208" t="n">
        <v>130</v>
      </c>
      <c r="G56" s="206" t="n">
        <v>1300</v>
      </c>
      <c r="H56" s="139" t="inlineStr">
        <is>
          <t>Pour les prelevements PK et / ou administration IV  
En cas de traitement oral +  tube en central lab  à comptabiliser, indiquer également si applicable (cathé à changer)</t>
        </is>
      </c>
    </row>
    <row r="57" ht="122.25" customFormat="1" customHeight="1" s="4">
      <c r="A57" s="184" t="inlineStr">
        <is>
          <t>Temps Infirmier pour l'aide au médecin à la réalisation d'un acte technique ou autre</t>
        </is>
      </c>
      <c r="B57" s="9" t="inlineStr">
        <is>
          <t>Par visite</t>
        </is>
      </c>
      <c r="C57" s="9" t="inlineStr">
        <is>
          <t>coût</t>
        </is>
      </c>
      <c r="D57" s="218" t="n"/>
      <c r="E57" s="219" t="n">
        <v>5</v>
      </c>
      <c r="F57" s="208" t="n">
        <v>0</v>
      </c>
      <c r="G57" s="206" t="n">
        <v>0</v>
      </c>
      <c r="H57" s="135" t="inlineStr">
        <is>
          <t>Exemple : aide au médecin pour l’envoi pour relecture au laboratoire centralisé.
Ceci s'applique par exemple en cas d'envoi des tracés d' ECG en  centralisé, Holter ou autre envoi centralisé de données issues d'un examen si non compté dans le temps Infirmier pour cet acte.
30min de base à réévaluer si besoin et selon les procédures
Applicable également pour la réalisation des ECG non centralisés:
 - si ECG simple 10 min par acte
 - si ECG tripliqué 20 min par acte .</t>
        </is>
      </c>
    </row>
    <row r="58" ht="76.5" customFormat="1" customHeight="1" s="2">
      <c r="A58" s="184" t="inlineStr">
        <is>
          <t>Temps Infirmier par point de PK/PD - 15min
Lister les visites</t>
        </is>
      </c>
      <c r="B58" s="9" t="inlineStr">
        <is>
          <t>Par point PK/PD</t>
        </is>
      </c>
      <c r="C58" s="9" t="inlineStr">
        <is>
          <t>coût</t>
        </is>
      </c>
      <c r="D58" s="218" t="n">
        <v>13</v>
      </c>
      <c r="E58" s="219" t="n">
        <v>5</v>
      </c>
      <c r="F58" s="208" t="n">
        <v>65</v>
      </c>
      <c r="G58" s="206" t="n">
        <v>650</v>
      </c>
      <c r="H58" s="135" t="inlineStr">
        <is>
          <t xml:space="preserve">On duplique chaque ligne par type de tube . 
Par exemple :
 - 1 ligne pour les PK
 - 1 ligne pour les ADA (= PD)
- 1 ligne pour cytokine...
</t>
        </is>
      </c>
      <c r="I58" s="10" t="n"/>
      <c r="J58" s="10" t="n"/>
      <c r="K58" s="10" t="n"/>
      <c r="L58" s="10" t="n"/>
      <c r="M58" s="10" t="n"/>
      <c r="N58" s="10" t="n"/>
      <c r="O58" s="10" t="n"/>
      <c r="P58" s="10" t="n"/>
      <c r="Q58" s="10" t="n"/>
      <c r="R58" s="10" t="n"/>
      <c r="S58" s="10" t="n"/>
      <c r="T58" s="10" t="n"/>
      <c r="U58" s="10" t="n"/>
      <c r="V58" s="10" t="n"/>
      <c r="W58" s="10" t="n"/>
      <c r="X58" s="10" t="n"/>
      <c r="Y58" s="10" t="n"/>
      <c r="Z58" s="10" t="n"/>
      <c r="AA58" s="10" t="n"/>
      <c r="AB58" s="10" t="n"/>
      <c r="AC58" s="10" t="n"/>
      <c r="AD58" s="10" t="n"/>
      <c r="AE58" s="10" t="n"/>
      <c r="AF58" s="10" t="n"/>
      <c r="AG58" s="10" t="n"/>
      <c r="AH58" s="10" t="n"/>
      <c r="AI58" s="10" t="n"/>
      <c r="AJ58" s="10" t="n"/>
      <c r="AK58" s="10" t="n"/>
      <c r="AL58" s="10" t="n"/>
      <c r="AM58" s="10" t="n"/>
      <c r="AN58" s="10" t="n"/>
      <c r="AO58" s="10" t="n"/>
      <c r="AP58" s="10" t="n"/>
      <c r="AQ58" s="10" t="n"/>
      <c r="AR58" s="10" t="n"/>
      <c r="AS58" s="10" t="n"/>
      <c r="AT58" s="10" t="n"/>
      <c r="AU58" s="10" t="n"/>
      <c r="AV58" s="10" t="n"/>
      <c r="AW58" s="10" t="n"/>
      <c r="AX58" s="10" t="n"/>
      <c r="AY58" s="10" t="n"/>
      <c r="AZ58" s="10" t="n"/>
      <c r="BA58" s="10" t="n"/>
      <c r="BB58" s="10" t="n"/>
      <c r="BC58" s="10" t="n"/>
      <c r="BD58" s="10" t="n"/>
      <c r="BE58" s="10" t="n"/>
      <c r="BF58" s="10" t="n"/>
      <c r="BG58" s="10" t="n"/>
      <c r="BH58" s="10" t="n"/>
      <c r="BI58" s="10" t="n"/>
      <c r="BJ58" s="10" t="n"/>
      <c r="BK58" s="10" t="n"/>
      <c r="BL58" s="10" t="n"/>
      <c r="BM58" s="10" t="n"/>
      <c r="BN58" s="10" t="n"/>
      <c r="BO58" s="10" t="n"/>
      <c r="BP58" s="10" t="n"/>
      <c r="BQ58" s="10" t="n"/>
      <c r="BR58" s="10" t="n"/>
      <c r="BS58" s="10" t="n"/>
      <c r="BT58" s="10" t="n"/>
      <c r="BU58" s="10" t="n"/>
      <c r="BV58" s="10" t="n"/>
      <c r="BW58" s="10" t="n"/>
      <c r="BX58" s="10" t="n"/>
      <c r="BY58" s="10" t="n"/>
      <c r="BZ58" s="10" t="n"/>
      <c r="CA58" s="10" t="n"/>
      <c r="CB58" s="10" t="n"/>
      <c r="CC58" s="10" t="n"/>
      <c r="CD58" s="10" t="n"/>
      <c r="CE58" s="10" t="n"/>
      <c r="CF58" s="10" t="n"/>
      <c r="CG58" s="10" t="n"/>
      <c r="CH58" s="10" t="n"/>
      <c r="CI58" s="10" t="n"/>
      <c r="CJ58" s="10" t="n"/>
      <c r="CK58" s="10" t="n"/>
      <c r="CL58" s="10" t="n"/>
      <c r="CM58" s="10" t="n"/>
      <c r="CN58" s="10" t="n"/>
      <c r="CO58" s="10" t="n"/>
      <c r="CP58" s="10" t="n"/>
      <c r="CQ58" s="10" t="n"/>
      <c r="CR58" s="10" t="n"/>
      <c r="CS58" s="10" t="n"/>
      <c r="CT58" s="10" t="n"/>
      <c r="CU58" s="10" t="n"/>
      <c r="CV58" s="10" t="n"/>
      <c r="CW58" s="10" t="n"/>
      <c r="CX58" s="10" t="n"/>
      <c r="CY58" s="10" t="n"/>
      <c r="CZ58" s="10" t="n"/>
      <c r="DA58" s="10" t="n"/>
      <c r="DB58" s="10" t="n"/>
      <c r="DC58" s="10" t="n"/>
      <c r="DD58" s="10" t="n"/>
      <c r="DE58" s="10" t="n"/>
      <c r="DF58" s="10" t="n"/>
      <c r="DG58" s="10" t="n"/>
      <c r="DH58" s="10" t="n"/>
      <c r="DI58" s="10" t="n"/>
      <c r="DJ58" s="10" t="n"/>
      <c r="DK58" s="10" t="n"/>
      <c r="DL58" s="10" t="n"/>
      <c r="DM58" s="10" t="n"/>
      <c r="DN58" s="10" t="n"/>
      <c r="DO58" s="10" t="n"/>
      <c r="DP58" s="10" t="n"/>
      <c r="DQ58" s="10" t="n"/>
      <c r="DR58" s="10" t="n"/>
      <c r="DS58" s="10" t="n"/>
      <c r="DT58" s="10" t="n"/>
      <c r="DU58" s="10" t="n"/>
      <c r="DV58" s="10" t="n"/>
      <c r="DW58" s="10" t="n"/>
      <c r="DX58" s="10" t="n"/>
      <c r="DY58" s="10" t="n"/>
      <c r="DZ58" s="10" t="n"/>
      <c r="EA58" s="10" t="n"/>
      <c r="EB58" s="10" t="n"/>
      <c r="EC58" s="10" t="n"/>
      <c r="ED58" s="10" t="n"/>
      <c r="EE58" s="10" t="n"/>
      <c r="EF58" s="10" t="n"/>
      <c r="EG58" s="10" t="n"/>
      <c r="EH58" s="10" t="n"/>
      <c r="EI58" s="10" t="n"/>
      <c r="EJ58" s="10" t="n"/>
      <c r="EK58" s="10" t="n"/>
      <c r="EL58" s="10" t="n"/>
      <c r="EM58" s="10" t="n"/>
      <c r="EN58" s="10" t="n"/>
      <c r="EO58" s="10" t="n"/>
      <c r="EP58" s="10" t="n"/>
      <c r="EQ58" s="10" t="n"/>
      <c r="ER58" s="10" t="n"/>
      <c r="ES58" s="10" t="n"/>
      <c r="ET58" s="10" t="n"/>
      <c r="EU58" s="10" t="n"/>
      <c r="EV58" s="10" t="n"/>
      <c r="EW58" s="10" t="n"/>
      <c r="EX58" s="10" t="n"/>
      <c r="EY58" s="10" t="n"/>
    </row>
    <row r="59" ht="48.75" customFormat="1" customHeight="1" s="52">
      <c r="A59" s="183" t="inlineStr">
        <is>
          <t>Temps Manipulateur radio administration du radioélement pour le traitement à l'étude - 30min
Lister les visites</t>
        </is>
      </c>
      <c r="B59" s="9" t="inlineStr">
        <is>
          <t xml:space="preserve">Par administration par patient
</t>
        </is>
      </c>
      <c r="C59" s="13" t="inlineStr">
        <is>
          <t>coût</t>
        </is>
      </c>
      <c r="D59" s="204" t="n">
        <v>28.75</v>
      </c>
      <c r="E59" s="220" t="n">
        <v>5</v>
      </c>
      <c r="F59" s="208" t="n">
        <v>143.75</v>
      </c>
      <c r="G59" s="221" t="n">
        <v>1437.5</v>
      </c>
      <c r="H59" s="139" t="inlineStr">
        <is>
          <t>Applicable pour les essais dont le produit à l'étude est un radio-élément</t>
        </is>
      </c>
    </row>
    <row r="60" ht="165.75" customHeight="1">
      <c r="A60" s="198" t="inlineStr">
        <is>
          <t>ACTES NOMENCLATURES</t>
        </is>
      </c>
      <c r="B60" s="195" t="n"/>
      <c r="C60" s="195" t="n"/>
      <c r="D60" s="195" t="n"/>
      <c r="E60" s="195" t="n"/>
      <c r="F60" s="196" t="n"/>
      <c r="G60" s="116" t="n"/>
      <c r="H60" s="139" t="inlineStr">
        <is>
          <t>Exemples d'actes nomenclaturés :
- Référentiel AMI pour les actes IDE qui sont codés en intégrant du temps personnel; il est parfois nécessaire d'ajouter du temps personnel pour certains actes, hors actes infirmiers "basiques" comme la pose ou le retrait de cathéter). Ils sont comptabilisés ansi pour des prélèvements sanguins et urinaires. 
Les actes de biopsie, d'anesthésie sont des actes médicaux et doivent être colligés dans la partie des "ACTES NOMENCLATURES ".
L’AMI est comptabilisé pour chaque point PK/PD si les prélèvements ont lieu à différents temps au cours d’une même visite.
Tout acte imposé par le protocole de recherhce est valorisé même s'il ne conclut pas à une analyse (sous réserve que cela soit documenté dans les documents sources).</t>
        </is>
      </c>
    </row>
    <row r="61" ht="30" customFormat="1" customHeight="1" s="4">
      <c r="A61" s="183" t="inlineStr">
        <is>
          <t>Acte
Lister les visites</t>
        </is>
      </c>
      <c r="B61" s="9" t="n"/>
      <c r="C61" s="9" t="inlineStr">
        <is>
          <t>surcoût</t>
        </is>
      </c>
      <c r="D61" s="35" t="n"/>
      <c r="E61" s="32" t="n"/>
      <c r="F61" s="23">
        <f>D61*E61</f>
        <v/>
      </c>
      <c r="G61" s="117">
        <f>F61*$B$10</f>
        <v/>
      </c>
      <c r="H61" s="144" t="inlineStr">
        <is>
          <t>tarif CCAM (cf. ameli.fr), 
exemple:  ECG (DEQP003, Examen de la vision binoculaire BLQP010...)</t>
        </is>
      </c>
    </row>
    <row r="62" ht="38.25" customFormat="1" customHeight="1" s="10">
      <c r="A62" s="198" t="inlineStr">
        <is>
          <t>ACTES NON NOMENCLATURES SERVICES CLINIQUES ET MEDICO TECHNIQUES</t>
        </is>
      </c>
      <c r="B62" s="195" t="n"/>
      <c r="C62" s="195" t="n"/>
      <c r="D62" s="195" t="n"/>
      <c r="E62" s="195" t="n"/>
      <c r="F62" s="196" t="n"/>
      <c r="G62" s="116" t="n"/>
      <c r="H62" s="139" t="inlineStr">
        <is>
          <t>Exemples d'actes non nomenclaturés : 
Hyperglycémie orale provoquée : forfait devant comptabiliser du temps de personnel + un acte
Exploration fonctionnelle respiratoire</t>
        </is>
      </c>
    </row>
    <row r="63" ht="30" customFormat="1" customHeight="1" s="2">
      <c r="A63" s="68" t="inlineStr">
        <is>
          <t>Acte
Lister les visites</t>
        </is>
      </c>
      <c r="B63" s="19" t="n"/>
      <c r="C63" s="19" t="n"/>
      <c r="D63" s="84" t="n"/>
      <c r="E63" s="92" t="n"/>
      <c r="F63" s="37">
        <f>D63*E63</f>
        <v/>
      </c>
      <c r="G63" s="123">
        <f>F63*$B$10</f>
        <v/>
      </c>
      <c r="H63" s="139" t="n"/>
      <c r="I63" s="10" t="n"/>
      <c r="J63" s="10" t="n"/>
      <c r="K63" s="10" t="n"/>
      <c r="L63" s="10" t="n"/>
      <c r="M63" s="10" t="n"/>
      <c r="N63" s="10" t="n"/>
      <c r="O63" s="10" t="n"/>
      <c r="P63" s="10" t="n"/>
      <c r="Q63" s="10" t="n"/>
      <c r="R63" s="10" t="n"/>
      <c r="S63" s="10" t="n"/>
      <c r="T63" s="10" t="n"/>
      <c r="U63" s="10" t="n"/>
      <c r="V63" s="10" t="n"/>
      <c r="W63" s="10" t="n"/>
      <c r="X63" s="10" t="n"/>
      <c r="Y63" s="10" t="n"/>
      <c r="Z63" s="10" t="n"/>
      <c r="AA63" s="10" t="n"/>
      <c r="AB63" s="10" t="n"/>
      <c r="AC63" s="10" t="n"/>
      <c r="AD63" s="10" t="n"/>
      <c r="AE63" s="10" t="n"/>
      <c r="AF63" s="10" t="n"/>
      <c r="AG63" s="10" t="n"/>
      <c r="AH63" s="10" t="n"/>
      <c r="AI63" s="10" t="n"/>
      <c r="AJ63" s="10" t="n"/>
      <c r="AK63" s="10" t="n"/>
      <c r="AL63" s="10" t="n"/>
      <c r="AM63" s="10" t="n"/>
      <c r="AN63" s="10" t="n"/>
      <c r="AO63" s="10" t="n"/>
      <c r="AP63" s="10" t="n"/>
      <c r="AQ63" s="10" t="n"/>
      <c r="AR63" s="10" t="n"/>
      <c r="AS63" s="10" t="n"/>
      <c r="AT63" s="10" t="n"/>
      <c r="AU63" s="10" t="n"/>
      <c r="AV63" s="10" t="n"/>
      <c r="AW63" s="10" t="n"/>
      <c r="AX63" s="10" t="n"/>
      <c r="AY63" s="10" t="n"/>
      <c r="AZ63" s="10" t="n"/>
      <c r="BA63" s="10" t="n"/>
      <c r="BB63" s="10" t="n"/>
      <c r="BC63" s="10" t="n"/>
      <c r="BD63" s="10" t="n"/>
      <c r="BE63" s="10" t="n"/>
      <c r="BF63" s="10" t="n"/>
      <c r="BG63" s="10" t="n"/>
      <c r="BH63" s="10" t="n"/>
      <c r="BI63" s="10" t="n"/>
      <c r="BJ63" s="10" t="n"/>
      <c r="BK63" s="10" t="n"/>
      <c r="BL63" s="10" t="n"/>
      <c r="BM63" s="10" t="n"/>
      <c r="BN63" s="10" t="n"/>
      <c r="BO63" s="10" t="n"/>
      <c r="BP63" s="10" t="n"/>
      <c r="BQ63" s="10" t="n"/>
      <c r="BR63" s="10" t="n"/>
      <c r="BS63" s="10" t="n"/>
      <c r="BT63" s="10" t="n"/>
      <c r="BU63" s="10" t="n"/>
      <c r="BV63" s="10" t="n"/>
      <c r="BW63" s="10" t="n"/>
      <c r="BX63" s="10" t="n"/>
      <c r="BY63" s="10" t="n"/>
      <c r="BZ63" s="10" t="n"/>
      <c r="CA63" s="10" t="n"/>
      <c r="CB63" s="10" t="n"/>
      <c r="CC63" s="10" t="n"/>
      <c r="CD63" s="10" t="n"/>
      <c r="CE63" s="10" t="n"/>
      <c r="CF63" s="10" t="n"/>
      <c r="CG63" s="10" t="n"/>
      <c r="CH63" s="10" t="n"/>
      <c r="CI63" s="10" t="n"/>
      <c r="CJ63" s="10" t="n"/>
      <c r="CK63" s="10" t="n"/>
      <c r="CL63" s="10" t="n"/>
      <c r="CM63" s="10" t="n"/>
      <c r="CN63" s="10" t="n"/>
      <c r="CO63" s="10" t="n"/>
      <c r="CP63" s="10" t="n"/>
      <c r="CQ63" s="10" t="n"/>
      <c r="CR63" s="10" t="n"/>
      <c r="CS63" s="10" t="n"/>
      <c r="CT63" s="10" t="n"/>
      <c r="CU63" s="10" t="n"/>
      <c r="CV63" s="10" t="n"/>
      <c r="CW63" s="10" t="n"/>
      <c r="CX63" s="10" t="n"/>
      <c r="CY63" s="10" t="n"/>
      <c r="CZ63" s="10" t="n"/>
      <c r="DA63" s="10" t="n"/>
      <c r="DB63" s="10" t="n"/>
      <c r="DC63" s="10" t="n"/>
      <c r="DD63" s="10" t="n"/>
      <c r="DE63" s="10" t="n"/>
      <c r="DF63" s="10" t="n"/>
      <c r="DG63" s="10" t="n"/>
      <c r="DH63" s="10" t="n"/>
      <c r="DI63" s="10" t="n"/>
      <c r="DJ63" s="10" t="n"/>
      <c r="DK63" s="10" t="n"/>
      <c r="DL63" s="10" t="n"/>
      <c r="DM63" s="10" t="n"/>
      <c r="DN63" s="10" t="n"/>
      <c r="DO63" s="10" t="n"/>
      <c r="DP63" s="10" t="n"/>
      <c r="DQ63" s="10" t="n"/>
      <c r="DR63" s="10" t="n"/>
      <c r="DS63" s="10" t="n"/>
      <c r="DT63" s="10" t="n"/>
      <c r="DU63" s="10" t="n"/>
      <c r="DV63" s="10" t="n"/>
      <c r="DW63" s="10" t="n"/>
      <c r="DX63" s="10" t="n"/>
      <c r="DY63" s="10" t="n"/>
      <c r="DZ63" s="10" t="n"/>
      <c r="EA63" s="10" t="n"/>
      <c r="EB63" s="10" t="n"/>
      <c r="EC63" s="10" t="n"/>
      <c r="ED63" s="10" t="n"/>
      <c r="EE63" s="10" t="n"/>
      <c r="EF63" s="10" t="n"/>
      <c r="EG63" s="10" t="n"/>
      <c r="EH63" s="10" t="n"/>
      <c r="EI63" s="10" t="n"/>
      <c r="EJ63" s="10" t="n"/>
      <c r="EK63" s="10" t="n"/>
      <c r="EL63" s="10" t="n"/>
      <c r="EM63" s="10" t="n"/>
      <c r="EN63" s="10" t="n"/>
      <c r="EO63" s="10" t="n"/>
      <c r="EP63" s="10" t="n"/>
      <c r="EQ63" s="10" t="n"/>
      <c r="ER63" s="10" t="n"/>
      <c r="ES63" s="10" t="n"/>
      <c r="ET63" s="10" t="n"/>
      <c r="EU63" s="10" t="n"/>
      <c r="EV63" s="10" t="n"/>
      <c r="EW63" s="10" t="n"/>
      <c r="EX63" s="10" t="n"/>
      <c r="EY63" s="10" t="n"/>
    </row>
    <row r="64" ht="39" customFormat="1" customHeight="1" s="10">
      <c r="A64" s="198" t="inlineStr">
        <is>
          <t>SEJOURS ET CONSULTATIONS</t>
        </is>
      </c>
      <c r="B64" s="195" t="n"/>
      <c r="C64" s="195" t="n"/>
      <c r="D64" s="195" t="n"/>
      <c r="E64" s="195" t="n"/>
      <c r="F64" s="196" t="n"/>
      <c r="G64" s="188" t="n"/>
      <c r="H64" s="139" t="n"/>
    </row>
    <row r="65" ht="45" customHeight="1">
      <c r="A65" s="63" t="inlineStr">
        <is>
          <t>Consultation médicale supplémentaire
Spécifique à la recherche
Lister les visites</t>
        </is>
      </c>
      <c r="B65" s="9" t="inlineStr">
        <is>
          <t>Par consultation</t>
        </is>
      </c>
      <c r="C65" s="9" t="inlineStr">
        <is>
          <t>surcoût</t>
        </is>
      </c>
      <c r="D65" s="11" t="inlineStr">
        <is>
          <t>tarif CCAM
CS ou CNPSY ou CSC</t>
        </is>
      </c>
      <c r="E65" s="32" t="n"/>
      <c r="F65" s="23">
        <f>IFERROR(D65*E65, 0)</f>
        <v/>
      </c>
      <c r="G65" s="117">
        <f>F65*$B$10</f>
        <v/>
      </c>
      <c r="H65" s="139" t="inlineStr">
        <is>
          <t xml:space="preserve">Consultation médicale au tarif CCAM : correspond à une consultation de suivi hors pratique courante effectuée par l’investigateur ou par un autre spécialiste impliqué dans la recherche. </t>
        </is>
      </c>
      <c r="I65" s="10" t="n"/>
      <c r="J65" s="10" t="n"/>
      <c r="K65" s="10" t="n"/>
      <c r="L65" s="10" t="n"/>
      <c r="M65" s="10" t="n"/>
      <c r="N65" s="10" t="n"/>
      <c r="O65" s="10" t="n"/>
      <c r="P65" s="10" t="n"/>
      <c r="Q65" s="10" t="n"/>
      <c r="R65" s="10" t="n"/>
      <c r="S65" s="10" t="n"/>
      <c r="T65" s="10" t="n"/>
      <c r="U65" s="10" t="n"/>
      <c r="V65" s="10" t="n"/>
      <c r="W65" s="10" t="n"/>
      <c r="X65" s="10" t="n"/>
      <c r="Y65" s="10" t="n"/>
      <c r="Z65" s="10" t="n"/>
      <c r="AA65" s="10" t="n"/>
      <c r="AB65" s="10" t="n"/>
      <c r="AC65" s="10" t="n"/>
      <c r="AD65" s="10" t="n"/>
      <c r="AE65" s="10" t="n"/>
      <c r="AF65" s="10" t="n"/>
      <c r="AG65" s="10" t="n"/>
      <c r="AH65" s="10" t="n"/>
      <c r="AI65" s="10" t="n"/>
      <c r="AJ65" s="10" t="n"/>
      <c r="AK65" s="10" t="n"/>
      <c r="AL65" s="10" t="n"/>
      <c r="AM65" s="10" t="n"/>
      <c r="AN65" s="10" t="n"/>
      <c r="AO65" s="10" t="n"/>
      <c r="AP65" s="10" t="n"/>
      <c r="AQ65" s="10" t="n"/>
      <c r="AR65" s="10" t="n"/>
      <c r="AS65" s="10" t="n"/>
      <c r="AT65" s="10" t="n"/>
      <c r="AU65" s="10" t="n"/>
      <c r="AV65" s="10" t="n"/>
      <c r="AW65" s="10" t="n"/>
      <c r="AX65" s="10" t="n"/>
      <c r="AY65" s="10" t="n"/>
      <c r="AZ65" s="10" t="n"/>
      <c r="BA65" s="10" t="n"/>
      <c r="BB65" s="10" t="n"/>
      <c r="BC65" s="10" t="n"/>
      <c r="BD65" s="10" t="n"/>
      <c r="BE65" s="10" t="n"/>
      <c r="BF65" s="10" t="n"/>
      <c r="BG65" s="10" t="n"/>
      <c r="BH65" s="10" t="n"/>
      <c r="BI65" s="10" t="n"/>
      <c r="BJ65" s="10" t="n"/>
      <c r="BK65" s="10" t="n"/>
      <c r="BL65" s="10" t="n"/>
      <c r="BM65" s="10" t="n"/>
      <c r="BN65" s="10" t="n"/>
      <c r="BO65" s="10" t="n"/>
      <c r="BP65" s="10" t="n"/>
      <c r="BQ65" s="10" t="n"/>
      <c r="BR65" s="10" t="n"/>
      <c r="BS65" s="10" t="n"/>
      <c r="BT65" s="10" t="n"/>
      <c r="BU65" s="10" t="n"/>
      <c r="BV65" s="10" t="n"/>
      <c r="BW65" s="10" t="n"/>
      <c r="BX65" s="10" t="n"/>
      <c r="BY65" s="10" t="n"/>
      <c r="BZ65" s="10" t="n"/>
      <c r="CA65" s="10" t="n"/>
      <c r="CB65" s="10" t="n"/>
      <c r="CC65" s="10" t="n"/>
      <c r="CD65" s="10" t="n"/>
      <c r="CE65" s="10" t="n"/>
      <c r="CF65" s="10" t="n"/>
      <c r="CG65" s="10" t="n"/>
      <c r="CH65" s="10" t="n"/>
      <c r="CI65" s="10" t="n"/>
      <c r="CJ65" s="10" t="n"/>
      <c r="CK65" s="10" t="n"/>
      <c r="CL65" s="10" t="n"/>
      <c r="CM65" s="10" t="n"/>
      <c r="CN65" s="10" t="n"/>
      <c r="CO65" s="10" t="n"/>
      <c r="CP65" s="10" t="n"/>
      <c r="CQ65" s="10" t="n"/>
      <c r="CR65" s="10" t="n"/>
      <c r="CS65" s="10" t="n"/>
      <c r="CT65" s="10" t="n"/>
      <c r="CU65" s="10" t="n"/>
      <c r="CV65" s="10" t="n"/>
      <c r="CW65" s="10" t="n"/>
      <c r="CX65" s="10" t="n"/>
      <c r="CY65" s="10" t="n"/>
      <c r="CZ65" s="10" t="n"/>
      <c r="DA65" s="10" t="n"/>
      <c r="DB65" s="10" t="n"/>
      <c r="DC65" s="10" t="n"/>
      <c r="DD65" s="10" t="n"/>
      <c r="DE65" s="10" t="n"/>
      <c r="DF65" s="10" t="n"/>
      <c r="DG65" s="10" t="n"/>
      <c r="DH65" s="10" t="n"/>
      <c r="DI65" s="10" t="n"/>
      <c r="DJ65" s="10" t="n"/>
      <c r="DK65" s="10" t="n"/>
      <c r="DL65" s="10" t="n"/>
      <c r="DM65" s="10" t="n"/>
      <c r="DN65" s="10" t="n"/>
      <c r="DO65" s="10" t="n"/>
      <c r="DP65" s="10" t="n"/>
      <c r="DQ65" s="10" t="n"/>
      <c r="DR65" s="10" t="n"/>
      <c r="DS65" s="10" t="n"/>
      <c r="DT65" s="10" t="n"/>
      <c r="DU65" s="10" t="n"/>
      <c r="DV65" s="10" t="n"/>
      <c r="DW65" s="10" t="n"/>
      <c r="DX65" s="10" t="n"/>
      <c r="DY65" s="10" t="n"/>
      <c r="DZ65" s="10" t="n"/>
      <c r="EA65" s="10" t="n"/>
      <c r="EB65" s="10" t="n"/>
      <c r="EC65" s="10" t="n"/>
      <c r="ED65" s="10" t="n"/>
      <c r="EE65" s="10" t="n"/>
      <c r="EF65" s="10" t="n"/>
      <c r="EG65" s="10" t="n"/>
      <c r="EH65" s="10" t="n"/>
      <c r="EI65" s="10" t="n"/>
      <c r="EJ65" s="10" t="n"/>
      <c r="EK65" s="10" t="n"/>
      <c r="EL65" s="10" t="n"/>
      <c r="EM65" s="10" t="n"/>
      <c r="EN65" s="10" t="n"/>
      <c r="EO65" s="10" t="n"/>
      <c r="EP65" s="10" t="n"/>
      <c r="EQ65" s="10" t="n"/>
      <c r="ER65" s="10" t="n"/>
      <c r="ES65" s="10" t="n"/>
      <c r="ET65" s="10" t="n"/>
      <c r="EU65" s="10" t="n"/>
      <c r="EV65" s="10" t="n"/>
      <c r="EW65" s="10" t="n"/>
      <c r="EX65" s="10" t="n"/>
      <c r="EY65" s="10" t="n"/>
    </row>
    <row r="66" ht="76.5" customFormat="1" customHeight="1" s="52">
      <c r="A66" s="183" t="inlineStr">
        <is>
          <t>Consultation médicale supplémentaire spécialité médicale
Lister les visites</t>
        </is>
      </c>
      <c r="B66" s="9" t="inlineStr">
        <is>
          <t>Par consultation</t>
        </is>
      </c>
      <c r="C66" s="9" t="inlineStr">
        <is>
          <t>surcoût</t>
        </is>
      </c>
      <c r="D66" s="11" t="n"/>
      <c r="E66" s="56" t="n"/>
      <c r="F66" s="23">
        <f>D66*E66</f>
        <v/>
      </c>
      <c r="G66" s="117">
        <f>F66*$B$10</f>
        <v/>
      </c>
      <c r="H66" s="139" t="inlineStr">
        <is>
          <t xml:space="preserve">Mis en colonne A Tarif CCAM XXX € + dépassement honoraire aux frais réels si réalisé en externe et si aucun partenariat entre le promoteur et le prestataire
Tarif CCAM en vigueur en colonne D
Par consultation ACP 55€ + majoration coordination  MCG 5€ soit 60 €
Pour chaque consultation en dehors de la consultation investigateur </t>
        </is>
      </c>
      <c r="I66" s="53" t="n"/>
      <c r="J66" s="53" t="n"/>
      <c r="K66" s="53" t="n"/>
      <c r="L66" s="53" t="n"/>
      <c r="M66" s="53" t="n"/>
      <c r="N66" s="53" t="n"/>
      <c r="O66" s="53" t="n"/>
      <c r="P66" s="53" t="n"/>
      <c r="Q66" s="53" t="n"/>
      <c r="R66" s="53" t="n"/>
      <c r="S66" s="53" t="n"/>
      <c r="T66" s="53" t="n"/>
      <c r="U66" s="53" t="n"/>
      <c r="V66" s="53" t="n"/>
      <c r="W66" s="53" t="n"/>
      <c r="X66" s="53" t="n"/>
      <c r="Y66" s="53" t="n"/>
      <c r="Z66" s="53" t="n"/>
      <c r="AA66" s="53" t="n"/>
      <c r="AB66" s="53" t="n"/>
      <c r="AC66" s="53" t="n"/>
      <c r="AD66" s="53" t="n"/>
      <c r="AE66" s="53" t="n"/>
      <c r="AF66" s="53" t="n"/>
      <c r="AG66" s="53" t="n"/>
      <c r="AH66" s="53" t="n"/>
      <c r="AI66" s="53" t="n"/>
      <c r="AJ66" s="53" t="n"/>
      <c r="AK66" s="53" t="n"/>
      <c r="AL66" s="53" t="n"/>
      <c r="AM66" s="53" t="n"/>
      <c r="AN66" s="53" t="n"/>
      <c r="AO66" s="53" t="n"/>
      <c r="AP66" s="53" t="n"/>
      <c r="AQ66" s="53" t="n"/>
      <c r="AR66" s="53" t="n"/>
      <c r="AS66" s="53" t="n"/>
      <c r="AT66" s="53" t="n"/>
      <c r="AU66" s="53" t="n"/>
      <c r="AV66" s="53" t="n"/>
      <c r="AW66" s="53" t="n"/>
      <c r="AX66" s="53" t="n"/>
      <c r="AY66" s="53" t="n"/>
      <c r="AZ66" s="53" t="n"/>
      <c r="BA66" s="53" t="n"/>
      <c r="BB66" s="53" t="n"/>
      <c r="BC66" s="53" t="n"/>
      <c r="BD66" s="53" t="n"/>
      <c r="BE66" s="53" t="n"/>
      <c r="BF66" s="53" t="n"/>
      <c r="BG66" s="53" t="n"/>
      <c r="BH66" s="53" t="n"/>
      <c r="BI66" s="53" t="n"/>
      <c r="BJ66" s="53" t="n"/>
      <c r="BK66" s="53" t="n"/>
      <c r="BL66" s="53" t="n"/>
      <c r="BM66" s="53" t="n"/>
      <c r="BN66" s="53" t="n"/>
      <c r="BO66" s="53" t="n"/>
      <c r="BP66" s="53" t="n"/>
      <c r="BQ66" s="53" t="n"/>
      <c r="BR66" s="53" t="n"/>
      <c r="BS66" s="53" t="n"/>
      <c r="BT66" s="53" t="n"/>
      <c r="BU66" s="53" t="n"/>
      <c r="BV66" s="53" t="n"/>
      <c r="BW66" s="53" t="n"/>
      <c r="BX66" s="53" t="n"/>
      <c r="BY66" s="53" t="n"/>
      <c r="BZ66" s="53" t="n"/>
      <c r="CA66" s="53" t="n"/>
      <c r="CB66" s="53" t="n"/>
      <c r="CC66" s="53" t="n"/>
      <c r="CD66" s="53" t="n"/>
      <c r="CE66" s="53" t="n"/>
      <c r="CF66" s="53" t="n"/>
      <c r="CG66" s="53" t="n"/>
      <c r="CH66" s="53" t="n"/>
      <c r="CI66" s="53" t="n"/>
      <c r="CJ66" s="53" t="n"/>
      <c r="CK66" s="53" t="n"/>
      <c r="CL66" s="53" t="n"/>
      <c r="CM66" s="53" t="n"/>
      <c r="CN66" s="53" t="n"/>
      <c r="CO66" s="53" t="n"/>
      <c r="CP66" s="53" t="n"/>
      <c r="CQ66" s="53" t="n"/>
      <c r="CR66" s="53" t="n"/>
      <c r="CS66" s="53" t="n"/>
      <c r="CT66" s="53" t="n"/>
      <c r="CU66" s="53" t="n"/>
      <c r="CV66" s="53" t="n"/>
      <c r="CW66" s="53" t="n"/>
      <c r="CX66" s="53" t="n"/>
      <c r="CY66" s="53" t="n"/>
      <c r="CZ66" s="53" t="n"/>
      <c r="DA66" s="53" t="n"/>
      <c r="DB66" s="53" t="n"/>
      <c r="DC66" s="53" t="n"/>
      <c r="DD66" s="53" t="n"/>
      <c r="DE66" s="53" t="n"/>
      <c r="DF66" s="53" t="n"/>
      <c r="DG66" s="53" t="n"/>
      <c r="DH66" s="53" t="n"/>
      <c r="DI66" s="53" t="n"/>
      <c r="DJ66" s="53" t="n"/>
      <c r="DK66" s="53" t="n"/>
      <c r="DL66" s="53" t="n"/>
      <c r="DM66" s="53" t="n"/>
      <c r="DN66" s="53" t="n"/>
      <c r="DO66" s="53" t="n"/>
      <c r="DP66" s="53" t="n"/>
      <c r="DQ66" s="53" t="n"/>
      <c r="DR66" s="53" t="n"/>
      <c r="DS66" s="53" t="n"/>
      <c r="DT66" s="53" t="n"/>
      <c r="DU66" s="53" t="n"/>
      <c r="DV66" s="53" t="n"/>
      <c r="DW66" s="53" t="n"/>
      <c r="DX66" s="53" t="n"/>
      <c r="DY66" s="53" t="n"/>
      <c r="DZ66" s="53" t="n"/>
      <c r="EA66" s="53" t="n"/>
      <c r="EB66" s="53" t="n"/>
      <c r="EC66" s="53" t="n"/>
      <c r="ED66" s="53" t="n"/>
      <c r="EE66" s="53" t="n"/>
      <c r="EF66" s="53" t="n"/>
      <c r="EG66" s="53" t="n"/>
      <c r="EH66" s="53" t="n"/>
      <c r="EI66" s="53" t="n"/>
      <c r="EJ66" s="53" t="n"/>
      <c r="EK66" s="53" t="n"/>
      <c r="EL66" s="53" t="n"/>
      <c r="EM66" s="53" t="n"/>
      <c r="EN66" s="53" t="n"/>
      <c r="EO66" s="53" t="n"/>
      <c r="EP66" s="53" t="n"/>
      <c r="EQ66" s="53" t="n"/>
      <c r="ER66" s="53" t="n"/>
      <c r="ES66" s="53" t="n"/>
      <c r="ET66" s="53" t="n"/>
      <c r="EU66" s="53" t="n"/>
      <c r="EV66" s="53" t="n"/>
      <c r="EW66" s="53" t="n"/>
      <c r="EX66" s="53" t="n"/>
      <c r="EY66" s="53" t="n"/>
    </row>
    <row r="67" ht="138" customHeight="1">
      <c r="A67" s="63" t="inlineStr">
        <is>
          <t>Forfait frais d'hébergement hôtelier &lt; 24h 
Frais liés aux repas, frais de mise à disposition d'une chambre, chauffage, fluides, services techniques, temps médical et infirmier de suivi (frais forfaitisées différents de la compensation des actes supplémentaires liés à la recherche pratiqués en journée) =&gt; le forfait doit correspondre à l'occupation effective nécessitée par le protocole, d'un lit, d'un fauteuil : l'occupation n'est pas systématique.
le forfait prend en compte 1h de temps médical + 1 h de temps infirmier + repas. 
Lister les visites</t>
        </is>
      </c>
      <c r="B67" s="9" t="inlineStr">
        <is>
          <t>Forfait par visite</t>
        </is>
      </c>
      <c r="C67" s="9" t="inlineStr">
        <is>
          <t>surcoût</t>
        </is>
      </c>
      <c r="D67" s="11" t="n">
        <v>429.09</v>
      </c>
      <c r="E67" s="32" t="n"/>
      <c r="F67" s="23">
        <f>D67*E67</f>
        <v/>
      </c>
      <c r="G67" s="117">
        <f>F67*$B$10</f>
        <v/>
      </c>
      <c r="H67" s="138" t="inlineStr">
        <is>
          <t>Laisser uniquement le tarif colonne D et dupliquer la ligne si nécessaire
Bien vérifier sur l'annexe 2 si l'HDJ est comptabilisée pour calculer le niveau de complexité de la recherche.
Pour plus de lisibilité, dupliquer les lignes des forfaits d’hébergement hôtelier et indiquer le tarif forfaitaire correspondant.</t>
        </is>
      </c>
      <c r="I67" s="10" t="n"/>
      <c r="J67" s="10" t="n"/>
      <c r="K67" s="10" t="n"/>
      <c r="L67" s="10" t="n"/>
      <c r="M67" s="10" t="n"/>
      <c r="N67" s="10" t="n"/>
      <c r="O67" s="10" t="n"/>
      <c r="P67" s="10" t="n"/>
      <c r="Q67" s="10" t="n"/>
      <c r="R67" s="10" t="n"/>
      <c r="S67" s="10" t="n"/>
      <c r="T67" s="10" t="n"/>
      <c r="U67" s="10" t="n"/>
      <c r="V67" s="10" t="n"/>
      <c r="W67" s="10" t="n"/>
      <c r="X67" s="10" t="n"/>
      <c r="Y67" s="10" t="n"/>
      <c r="Z67" s="10" t="n"/>
      <c r="AA67" s="10" t="n"/>
      <c r="AB67" s="10" t="n"/>
      <c r="AC67" s="10" t="n"/>
      <c r="AD67" s="10" t="n"/>
      <c r="AE67" s="10" t="n"/>
      <c r="AF67" s="10" t="n"/>
      <c r="AG67" s="10" t="n"/>
      <c r="AH67" s="10" t="n"/>
      <c r="AI67" s="10" t="n"/>
      <c r="AJ67" s="10" t="n"/>
      <c r="AK67" s="10" t="n"/>
      <c r="AL67" s="10" t="n"/>
      <c r="AM67" s="10" t="n"/>
      <c r="AN67" s="10" t="n"/>
      <c r="AO67" s="10" t="n"/>
      <c r="AP67" s="10" t="n"/>
      <c r="AQ67" s="10" t="n"/>
      <c r="AR67" s="10" t="n"/>
      <c r="AS67" s="10" t="n"/>
      <c r="AT67" s="10" t="n"/>
      <c r="AU67" s="10" t="n"/>
      <c r="AV67" s="10" t="n"/>
      <c r="AW67" s="10" t="n"/>
      <c r="AX67" s="10" t="n"/>
      <c r="AY67" s="10" t="n"/>
      <c r="AZ67" s="10" t="n"/>
      <c r="BA67" s="10" t="n"/>
      <c r="BB67" s="10" t="n"/>
      <c r="BC67" s="10" t="n"/>
      <c r="BD67" s="10" t="n"/>
      <c r="BE67" s="10" t="n"/>
      <c r="BF67" s="10" t="n"/>
      <c r="BG67" s="10" t="n"/>
      <c r="BH67" s="10" t="n"/>
      <c r="BI67" s="10" t="n"/>
      <c r="BJ67" s="10" t="n"/>
      <c r="BK67" s="10" t="n"/>
      <c r="BL67" s="10" t="n"/>
      <c r="BM67" s="10" t="n"/>
      <c r="BN67" s="10" t="n"/>
      <c r="BO67" s="10" t="n"/>
      <c r="BP67" s="10" t="n"/>
      <c r="BQ67" s="10" t="n"/>
      <c r="BR67" s="10" t="n"/>
      <c r="BS67" s="10" t="n"/>
      <c r="BT67" s="10" t="n"/>
      <c r="BU67" s="10" t="n"/>
      <c r="BV67" s="10" t="n"/>
      <c r="BW67" s="10" t="n"/>
      <c r="BX67" s="10" t="n"/>
      <c r="BY67" s="10" t="n"/>
      <c r="BZ67" s="10" t="n"/>
      <c r="CA67" s="10" t="n"/>
      <c r="CB67" s="10" t="n"/>
      <c r="CC67" s="10" t="n"/>
      <c r="CD67" s="10" t="n"/>
      <c r="CE67" s="10" t="n"/>
      <c r="CF67" s="10" t="n"/>
      <c r="CG67" s="10" t="n"/>
      <c r="CH67" s="10" t="n"/>
      <c r="CI67" s="10" t="n"/>
      <c r="CJ67" s="10" t="n"/>
      <c r="CK67" s="10" t="n"/>
      <c r="CL67" s="10" t="n"/>
      <c r="CM67" s="10" t="n"/>
      <c r="CN67" s="10" t="n"/>
      <c r="CO67" s="10" t="n"/>
      <c r="CP67" s="10" t="n"/>
      <c r="CQ67" s="10" t="n"/>
      <c r="CR67" s="10" t="n"/>
      <c r="CS67" s="10" t="n"/>
      <c r="CT67" s="10" t="n"/>
      <c r="CU67" s="10" t="n"/>
      <c r="CV67" s="10" t="n"/>
      <c r="CW67" s="10" t="n"/>
      <c r="CX67" s="10" t="n"/>
      <c r="CY67" s="10" t="n"/>
      <c r="CZ67" s="10" t="n"/>
      <c r="DA67" s="10" t="n"/>
      <c r="DB67" s="10" t="n"/>
      <c r="DC67" s="10" t="n"/>
      <c r="DD67" s="10" t="n"/>
      <c r="DE67" s="10" t="n"/>
      <c r="DF67" s="10" t="n"/>
      <c r="DG67" s="10" t="n"/>
      <c r="DH67" s="10" t="n"/>
      <c r="DI67" s="10" t="n"/>
      <c r="DJ67" s="10" t="n"/>
      <c r="DK67" s="10" t="n"/>
      <c r="DL67" s="10" t="n"/>
      <c r="DM67" s="10" t="n"/>
      <c r="DN67" s="10" t="n"/>
      <c r="DO67" s="10" t="n"/>
      <c r="DP67" s="10" t="n"/>
      <c r="DQ67" s="10" t="n"/>
      <c r="DR67" s="10" t="n"/>
      <c r="DS67" s="10" t="n"/>
      <c r="DT67" s="10" t="n"/>
      <c r="DU67" s="10" t="n"/>
      <c r="DV67" s="10" t="n"/>
      <c r="DW67" s="10" t="n"/>
      <c r="DX67" s="10" t="n"/>
      <c r="DY67" s="10" t="n"/>
      <c r="DZ67" s="10" t="n"/>
      <c r="EA67" s="10" t="n"/>
      <c r="EB67" s="10" t="n"/>
      <c r="EC67" s="10" t="n"/>
      <c r="ED67" s="10" t="n"/>
      <c r="EE67" s="10" t="n"/>
      <c r="EF67" s="10" t="n"/>
      <c r="EG67" s="10" t="n"/>
      <c r="EH67" s="10" t="n"/>
      <c r="EI67" s="10" t="n"/>
      <c r="EJ67" s="10" t="n"/>
      <c r="EK67" s="10" t="n"/>
      <c r="EL67" s="10" t="n"/>
      <c r="EM67" s="10" t="n"/>
      <c r="EN67" s="10" t="n"/>
      <c r="EO67" s="10" t="n"/>
      <c r="EP67" s="10" t="n"/>
      <c r="EQ67" s="10" t="n"/>
      <c r="ER67" s="10" t="n"/>
      <c r="ES67" s="10" t="n"/>
      <c r="ET67" s="10" t="n"/>
      <c r="EU67" s="10" t="n"/>
      <c r="EV67" s="10" t="n"/>
      <c r="EW67" s="10" t="n"/>
      <c r="EX67" s="10" t="n"/>
      <c r="EY67" s="10" t="n"/>
    </row>
    <row r="68" ht="141" customFormat="1" customHeight="1" s="2">
      <c r="A68" s="63" t="inlineStr">
        <is>
          <t>Forfait frais d'hébergement hôtelier &gt; 24h
Frais liés aux repas, frais de mise à disposition d'une chambre, chauffage, fluides, services techniques, temps médical et infirmier de suivi (frais forfaitisées différents de la compensation des actes supplémentaires liés à la recherche pratiqués en journée) =&gt; le forfait doit correspondre à l'occupation effective nécessitée par le protocole, d'un lit, d'un fauteuil : l'occupation n'est pas systématique.
le forfait prend en compte 2h de temps médical + 2h de temps infirmier + repas. 
Lister les visites</t>
        </is>
      </c>
      <c r="B68" s="9" t="inlineStr">
        <is>
          <t>Forfait par visite</t>
        </is>
      </c>
      <c r="C68" s="9" t="inlineStr">
        <is>
          <t>surcoût</t>
        </is>
      </c>
      <c r="D68" s="11" t="n">
        <v>808.74</v>
      </c>
      <c r="E68" s="32" t="n"/>
      <c r="F68" s="23">
        <f>D68*E68</f>
        <v/>
      </c>
      <c r="G68" s="117">
        <f>F68*$B$10</f>
        <v/>
      </c>
      <c r="H68" s="138" t="inlineStr">
        <is>
          <t>Laisser uniquement le tarif colonne D et dupliquer la ligne si nécessaire
Bien vérifier sur l'annexe 2 si l'HDJ est comptabilisée pour calculer le niveau de complexité de la recherche.
Pour plus de lisibilité, dupliquer les lignes des forfaits d’hébergement hôtelier et indiquer le tarif forfaitaire correspondant.</t>
        </is>
      </c>
      <c r="I68" s="10" t="n"/>
      <c r="J68" s="10" t="n"/>
      <c r="K68" s="10" t="n"/>
      <c r="L68" s="10" t="n"/>
      <c r="M68" s="10" t="n"/>
      <c r="N68" s="10" t="n"/>
      <c r="O68" s="10" t="n"/>
      <c r="P68" s="10" t="n"/>
      <c r="Q68" s="10" t="n"/>
      <c r="R68" s="10" t="n"/>
      <c r="S68" s="10" t="n"/>
      <c r="T68" s="10" t="n"/>
      <c r="U68" s="10" t="n"/>
      <c r="V68" s="10" t="n"/>
      <c r="W68" s="10" t="n"/>
      <c r="X68" s="10" t="n"/>
      <c r="Y68" s="10" t="n"/>
      <c r="Z68" s="10" t="n"/>
      <c r="AA68" s="10" t="n"/>
      <c r="AB68" s="10" t="n"/>
      <c r="AC68" s="10" t="n"/>
      <c r="AD68" s="10" t="n"/>
      <c r="AE68" s="10" t="n"/>
      <c r="AF68" s="10" t="n"/>
      <c r="AG68" s="10" t="n"/>
      <c r="AH68" s="10" t="n"/>
      <c r="AI68" s="10" t="n"/>
      <c r="AJ68" s="10" t="n"/>
      <c r="AK68" s="10" t="n"/>
      <c r="AL68" s="10" t="n"/>
      <c r="AM68" s="10" t="n"/>
      <c r="AN68" s="10" t="n"/>
      <c r="AO68" s="10" t="n"/>
      <c r="AP68" s="10" t="n"/>
      <c r="AQ68" s="10" t="n"/>
      <c r="AR68" s="10" t="n"/>
      <c r="AS68" s="10" t="n"/>
      <c r="AT68" s="10" t="n"/>
      <c r="AU68" s="10" t="n"/>
      <c r="AV68" s="10" t="n"/>
      <c r="AW68" s="10" t="n"/>
      <c r="AX68" s="10" t="n"/>
      <c r="AY68" s="10" t="n"/>
      <c r="AZ68" s="10" t="n"/>
      <c r="BA68" s="10" t="n"/>
      <c r="BB68" s="10" t="n"/>
      <c r="BC68" s="10" t="n"/>
      <c r="BD68" s="10" t="n"/>
      <c r="BE68" s="10" t="n"/>
      <c r="BF68" s="10" t="n"/>
      <c r="BG68" s="10" t="n"/>
      <c r="BH68" s="10" t="n"/>
      <c r="BI68" s="10" t="n"/>
      <c r="BJ68" s="10" t="n"/>
      <c r="BK68" s="10" t="n"/>
      <c r="BL68" s="10" t="n"/>
      <c r="BM68" s="10" t="n"/>
      <c r="BN68" s="10" t="n"/>
      <c r="BO68" s="10" t="n"/>
      <c r="BP68" s="10" t="n"/>
      <c r="BQ68" s="10" t="n"/>
      <c r="BR68" s="10" t="n"/>
      <c r="BS68" s="10" t="n"/>
      <c r="BT68" s="10" t="n"/>
      <c r="BU68" s="10" t="n"/>
      <c r="BV68" s="10" t="n"/>
      <c r="BW68" s="10" t="n"/>
      <c r="BX68" s="10" t="n"/>
      <c r="BY68" s="10" t="n"/>
      <c r="BZ68" s="10" t="n"/>
      <c r="CA68" s="10" t="n"/>
      <c r="CB68" s="10" t="n"/>
      <c r="CC68" s="10" t="n"/>
      <c r="CD68" s="10" t="n"/>
      <c r="CE68" s="10" t="n"/>
      <c r="CF68" s="10" t="n"/>
      <c r="CG68" s="10" t="n"/>
      <c r="CH68" s="10" t="n"/>
      <c r="CI68" s="10" t="n"/>
      <c r="CJ68" s="10" t="n"/>
      <c r="CK68" s="10" t="n"/>
      <c r="CL68" s="10" t="n"/>
      <c r="CM68" s="10" t="n"/>
      <c r="CN68" s="10" t="n"/>
      <c r="CO68" s="10" t="n"/>
      <c r="CP68" s="10" t="n"/>
      <c r="CQ68" s="10" t="n"/>
      <c r="CR68" s="10" t="n"/>
      <c r="CS68" s="10" t="n"/>
      <c r="CT68" s="10" t="n"/>
      <c r="CU68" s="10" t="n"/>
      <c r="CV68" s="10" t="n"/>
      <c r="CW68" s="10" t="n"/>
      <c r="CX68" s="10" t="n"/>
      <c r="CY68" s="10" t="n"/>
      <c r="CZ68" s="10" t="n"/>
      <c r="DA68" s="10" t="n"/>
      <c r="DB68" s="10" t="n"/>
      <c r="DC68" s="10" t="n"/>
      <c r="DD68" s="10" t="n"/>
      <c r="DE68" s="10" t="n"/>
      <c r="DF68" s="10" t="n"/>
      <c r="DG68" s="10" t="n"/>
      <c r="DH68" s="10" t="n"/>
      <c r="DI68" s="10" t="n"/>
      <c r="DJ68" s="10" t="n"/>
      <c r="DK68" s="10" t="n"/>
      <c r="DL68" s="10" t="n"/>
      <c r="DM68" s="10" t="n"/>
      <c r="DN68" s="10" t="n"/>
      <c r="DO68" s="10" t="n"/>
      <c r="DP68" s="10" t="n"/>
      <c r="DQ68" s="10" t="n"/>
      <c r="DR68" s="10" t="n"/>
      <c r="DS68" s="10" t="n"/>
      <c r="DT68" s="10" t="n"/>
      <c r="DU68" s="10" t="n"/>
      <c r="DV68" s="10" t="n"/>
      <c r="DW68" s="10" t="n"/>
      <c r="DX68" s="10" t="n"/>
      <c r="DY68" s="10" t="n"/>
      <c r="DZ68" s="10" t="n"/>
      <c r="EA68" s="10" t="n"/>
      <c r="EB68" s="10" t="n"/>
      <c r="EC68" s="10" t="n"/>
      <c r="ED68" s="10" t="n"/>
      <c r="EE68" s="10" t="n"/>
      <c r="EF68" s="10" t="n"/>
      <c r="EG68" s="10" t="n"/>
      <c r="EH68" s="10" t="n"/>
      <c r="EI68" s="10" t="n"/>
      <c r="EJ68" s="10" t="n"/>
      <c r="EK68" s="10" t="n"/>
      <c r="EL68" s="10" t="n"/>
      <c r="EM68" s="10" t="n"/>
      <c r="EN68" s="10" t="n"/>
      <c r="EO68" s="10" t="n"/>
      <c r="EP68" s="10" t="n"/>
      <c r="EQ68" s="10" t="n"/>
      <c r="ER68" s="10" t="n"/>
      <c r="ES68" s="10" t="n"/>
      <c r="ET68" s="10" t="n"/>
      <c r="EU68" s="10" t="n"/>
      <c r="EV68" s="10" t="n"/>
      <c r="EW68" s="10" t="n"/>
      <c r="EX68" s="10" t="n"/>
      <c r="EY68" s="10" t="n"/>
    </row>
    <row r="69" ht="89.25" customFormat="1" customHeight="1" s="10">
      <c r="A69" s="198" t="inlineStr">
        <is>
          <t>AUTRES COUTS / SURCOUTS IMPUTABLES A LA RECHERCHE</t>
        </is>
      </c>
      <c r="B69" s="195" t="n"/>
      <c r="C69" s="195" t="n"/>
      <c r="D69" s="195" t="n"/>
      <c r="E69" s="195" t="n"/>
      <c r="F69" s="196" t="n"/>
      <c r="G69" s="188" t="n"/>
      <c r="H69" s="139" t="inlineStr">
        <is>
          <t>Indiquer dans cette section l’intégralité du temps du  personnel d'une spécialité autre que celle du service d'investigation (ex: ophtalmologie, cardiologie, etc.) et les hospitalisations non prévues. 
Exemples :
- Hospitalisation en cas d'EIG imputable à la recherche à facturer au réel (possibilité de chiffrer lors de la facturation avec l'aide du DIM)
- Temps médical d'une spécialité autre que celle du service d'investigation (ex: ophtalmo, cardio, etc.)
- Forfait clôture de la recherche : 1h temps médical + 3h temps TEC en cas d'étude de niveau 3</t>
        </is>
      </c>
    </row>
    <row r="70" ht="30" customFormat="1" customHeight="1" s="10">
      <c r="A70" s="93" t="inlineStr">
        <is>
          <t>Tous les frais complémentaires, non prévus, mais imputables à la recherche</t>
        </is>
      </c>
      <c r="B70" s="28" t="n"/>
      <c r="C70" s="7" t="inlineStr">
        <is>
          <t>coût</t>
        </is>
      </c>
      <c r="D70" s="35" t="n"/>
      <c r="E70" s="13" t="n"/>
      <c r="F70" s="37">
        <f>D70*E70</f>
        <v/>
      </c>
      <c r="G70" s="123">
        <f>F70</f>
        <v/>
      </c>
      <c r="H70" s="139" t="inlineStr">
        <is>
          <t>L’hospitalisation et les prestations complémentaires en cas d'EIG imputable à la recherche sont  à facturer au réel.</t>
        </is>
      </c>
    </row>
    <row r="71" ht="27" customFormat="1" customHeight="1" s="10">
      <c r="A71" s="222" t="inlineStr">
        <is>
          <t>SECURITE</t>
        </is>
      </c>
      <c r="B71" s="195" t="n"/>
      <c r="C71" s="195" t="n"/>
      <c r="D71" s="195" t="n"/>
      <c r="E71" s="195" t="n"/>
      <c r="F71" s="196" t="n"/>
      <c r="G71" s="124" t="n"/>
      <c r="H71" s="139" t="n"/>
    </row>
    <row r="72" ht="30" customFormat="1" customHeight="1" s="5">
      <c r="A72" s="63" t="inlineStr">
        <is>
          <t>Forfait événement indésirable grave imputable à la recherche - 1h de temps TEC et 20min de temps médical.</t>
        </is>
      </c>
      <c r="B72" s="9" t="inlineStr">
        <is>
          <t xml:space="preserve">Par EIG </t>
        </is>
      </c>
      <c r="C72" s="13" t="inlineStr">
        <is>
          <t>coût</t>
        </is>
      </c>
      <c r="D72" s="35" t="n">
        <v>96.3</v>
      </c>
      <c r="E72" s="223" t="n"/>
      <c r="F72" s="35">
        <f>D72*E72</f>
        <v/>
      </c>
      <c r="G72" s="117" t="inlineStr">
        <is>
          <t>Au prorata</t>
        </is>
      </c>
      <c r="H72" s="139" t="inlineStr">
        <is>
          <t>Le forfait prend en compte la déclaration d'un événement indésirable grave initial</t>
        </is>
      </c>
      <c r="I72" s="1" t="n"/>
      <c r="J72" s="1" t="n"/>
      <c r="K72" s="1" t="n"/>
      <c r="L72" s="1" t="n"/>
      <c r="M72" s="1" t="n"/>
      <c r="N72" s="1" t="n"/>
      <c r="O72" s="1" t="n"/>
      <c r="P72" s="1" t="n"/>
      <c r="Q72" s="1" t="n"/>
      <c r="R72" s="1" t="n"/>
      <c r="S72" s="1" t="n"/>
      <c r="T72" s="1" t="n"/>
      <c r="U72" s="1" t="n"/>
      <c r="V72" s="1" t="n"/>
      <c r="W72" s="1" t="n"/>
      <c r="X72" s="1" t="n"/>
      <c r="Y72" s="1" t="n"/>
      <c r="Z72" s="1" t="n"/>
      <c r="AA72" s="1" t="n"/>
      <c r="AB72" s="1" t="n"/>
      <c r="AC72" s="1" t="n"/>
      <c r="AD72" s="1" t="n"/>
      <c r="AE72" s="1" t="n"/>
      <c r="AF72" s="1" t="n"/>
      <c r="AG72" s="1" t="n"/>
      <c r="AH72" s="1" t="n"/>
      <c r="AI72" s="1" t="n"/>
      <c r="AJ72" s="1" t="n"/>
      <c r="AK72" s="1" t="n"/>
      <c r="AL72" s="1" t="n"/>
      <c r="AM72" s="1" t="n"/>
      <c r="AN72" s="1" t="n"/>
      <c r="AO72" s="1" t="n"/>
      <c r="AP72" s="1" t="n"/>
      <c r="AQ72" s="1" t="n"/>
      <c r="AR72" s="1" t="n"/>
      <c r="AS72" s="1" t="n"/>
      <c r="AT72" s="1" t="n"/>
      <c r="AU72" s="1" t="n"/>
      <c r="AV72" s="1" t="n"/>
      <c r="AW72" s="1" t="n"/>
      <c r="AX72" s="1" t="n"/>
      <c r="AY72" s="1" t="n"/>
      <c r="AZ72" s="1" t="n"/>
      <c r="BA72" s="1" t="n"/>
      <c r="BB72" s="1" t="n"/>
      <c r="BC72" s="1" t="n"/>
      <c r="BD72" s="1" t="n"/>
      <c r="BE72" s="1" t="n"/>
      <c r="BF72" s="1" t="n"/>
      <c r="BG72" s="1" t="n"/>
      <c r="BH72" s="1" t="n"/>
      <c r="BI72" s="1" t="n"/>
      <c r="BJ72" s="1" t="n"/>
      <c r="BK72" s="1" t="n"/>
      <c r="BL72" s="1" t="n"/>
      <c r="BM72" s="1" t="n"/>
      <c r="BN72" s="1" t="n"/>
      <c r="BO72" s="1" t="n"/>
      <c r="BP72" s="1" t="n"/>
      <c r="BQ72" s="1" t="n"/>
      <c r="BR72" s="1" t="n"/>
      <c r="BS72" s="1" t="n"/>
      <c r="BT72" s="1" t="n"/>
      <c r="BU72" s="1" t="n"/>
      <c r="BV72" s="1" t="n"/>
      <c r="BW72" s="1" t="n"/>
      <c r="BX72" s="1" t="n"/>
      <c r="BY72" s="1" t="n"/>
      <c r="BZ72" s="1" t="n"/>
      <c r="CA72" s="1" t="n"/>
      <c r="CB72" s="1" t="n"/>
      <c r="CC72" s="1" t="n"/>
      <c r="CD72" s="1" t="n"/>
      <c r="CE72" s="1" t="n"/>
      <c r="CF72" s="1" t="n"/>
      <c r="CG72" s="1" t="n"/>
      <c r="CH72" s="1" t="n"/>
      <c r="CI72" s="1" t="n"/>
      <c r="CJ72" s="1" t="n"/>
      <c r="CK72" s="1" t="n"/>
      <c r="CL72" s="1" t="n"/>
      <c r="CM72" s="1" t="n"/>
      <c r="CN72" s="1" t="n"/>
      <c r="CO72" s="1" t="n"/>
      <c r="CP72" s="1" t="n"/>
      <c r="CQ72" s="1" t="n"/>
      <c r="CR72" s="1" t="n"/>
      <c r="CS72" s="1" t="n"/>
      <c r="CT72" s="1" t="n"/>
      <c r="CU72" s="1" t="n"/>
      <c r="CV72" s="1" t="n"/>
      <c r="CW72" s="1" t="n"/>
      <c r="CX72" s="1" t="n"/>
      <c r="CY72" s="1" t="n"/>
      <c r="CZ72" s="1" t="n"/>
      <c r="DA72" s="1" t="n"/>
      <c r="DB72" s="1" t="n"/>
      <c r="DC72" s="1" t="n"/>
      <c r="DD72" s="1" t="n"/>
      <c r="DE72" s="1" t="n"/>
      <c r="DF72" s="1" t="n"/>
      <c r="DG72" s="1" t="n"/>
      <c r="DH72" s="1" t="n"/>
      <c r="DI72" s="1" t="n"/>
      <c r="DJ72" s="1" t="n"/>
      <c r="DK72" s="1" t="n"/>
      <c r="DL72" s="1" t="n"/>
      <c r="DM72" s="1" t="n"/>
      <c r="DN72" s="1" t="n"/>
      <c r="DO72" s="1" t="n"/>
      <c r="DP72" s="1" t="n"/>
      <c r="DQ72" s="1" t="n"/>
      <c r="DR72" s="1" t="n"/>
      <c r="DS72" s="1" t="n"/>
      <c r="DT72" s="1" t="n"/>
      <c r="DU72" s="1" t="n"/>
      <c r="DV72" s="1" t="n"/>
      <c r="DW72" s="1" t="n"/>
      <c r="DX72" s="1" t="n"/>
      <c r="DY72" s="1" t="n"/>
      <c r="DZ72" s="1" t="n"/>
      <c r="EA72" s="1" t="n"/>
      <c r="EB72" s="1" t="n"/>
      <c r="EC72" s="1" t="n"/>
      <c r="ED72" s="1" t="n"/>
      <c r="EE72" s="1" t="n"/>
      <c r="EF72" s="1" t="n"/>
      <c r="EG72" s="1" t="n"/>
      <c r="EH72" s="1" t="n"/>
      <c r="EI72" s="1" t="n"/>
      <c r="EJ72" s="1" t="n"/>
      <c r="EK72" s="1" t="n"/>
      <c r="EL72" s="1" t="n"/>
      <c r="EM72" s="1" t="n"/>
      <c r="EN72" s="1" t="n"/>
      <c r="EO72" s="1" t="n"/>
      <c r="EP72" s="1" t="n"/>
      <c r="EQ72" s="1" t="n"/>
      <c r="ER72" s="1" t="n"/>
      <c r="ES72" s="1" t="n"/>
      <c r="ET72" s="1" t="n"/>
      <c r="EU72" s="1" t="n"/>
      <c r="EV72" s="1" t="n"/>
      <c r="EW72" s="1" t="n"/>
      <c r="EX72" s="1" t="n"/>
      <c r="EY72" s="1" t="n"/>
    </row>
    <row r="73" ht="86.25" customFormat="1" customHeight="1" s="52">
      <c r="A73" s="183" t="inlineStr">
        <is>
          <t>Forfait de suivi événement Indésirable Grave imputable à la recherche
30min temps TEC et 10 min temps medical</t>
        </is>
      </c>
      <c r="B73" s="9" t="inlineStr">
        <is>
          <t xml:space="preserve">Par suivi d'EIG
</t>
        </is>
      </c>
      <c r="C73" s="13" t="inlineStr">
        <is>
          <t>coût</t>
        </is>
      </c>
      <c r="D73" s="35" t="n">
        <v>48.15</v>
      </c>
      <c r="E73" s="54" t="n"/>
      <c r="F73" s="35">
        <f>D73*E73</f>
        <v/>
      </c>
      <c r="G73" s="123" t="n"/>
      <c r="H73" s="145" t="n"/>
    </row>
    <row r="74" ht="68.25" customFormat="1" customHeight="1" s="52">
      <c r="A74" s="183" t="inlineStr">
        <is>
          <t>Effet indésirables graves et inattendus (EIGI)/ "Line Listing" : formation/paramétrage de la plateforme"
1h Temps TEC
30min Temps Médical
(si applicable)</t>
        </is>
      </c>
      <c r="B74" s="9" t="inlineStr">
        <is>
          <t xml:space="preserve">Par personnel formé
</t>
        </is>
      </c>
      <c r="C74" s="13" t="inlineStr">
        <is>
          <t>coût</t>
        </is>
      </c>
      <c r="D74" s="35" t="n">
        <v>115.7</v>
      </c>
      <c r="E74" s="50" t="n"/>
      <c r="F74" s="35">
        <f>D74*E74</f>
        <v/>
      </c>
      <c r="G74" s="125" t="n"/>
      <c r="H74" s="139" t="inlineStr">
        <is>
          <t xml:space="preserve">ligne à griser et à mettre en non applicable uniquement si les Effet indésirable grave et inattendu (EIGI) et Line Listing  sont transmis par email ou courrier </t>
        </is>
      </c>
    </row>
    <row r="75" ht="102" customFormat="1" customHeight="1" s="52">
      <c r="A75" s="183" t="inlineStr">
        <is>
          <t>Gestion des effets indésirables graves et inattendus / "Line Listing":
- papier: gestion du flux, diffusion et information à l'équipe, archivage
ou 
- plateforme: gestion du flux, connexion à la plateforme,  téléchargement des EIGI diffusion et information à l'équipe, archivage email</t>
        </is>
      </c>
      <c r="B75" s="9" t="inlineStr">
        <is>
          <t xml:space="preserve">Forfait annuel de la signature du contrat à la lettre de cloture
</t>
        </is>
      </c>
      <c r="C75" s="13" t="inlineStr">
        <is>
          <t>coût</t>
        </is>
      </c>
      <c r="D75" s="224" t="inlineStr">
        <is>
          <t>Gestion par papier: 100€
Gestion sur plateforme: 300€</t>
        </is>
      </c>
      <c r="E75" s="50" t="n"/>
      <c r="F75" s="35">
        <f>IFERROR(D75*E75,0)</f>
        <v/>
      </c>
      <c r="G75" s="125" t="n"/>
      <c r="H75" s="139" t="inlineStr">
        <is>
          <t>Forfait annuel ligne à griser et à mettre en non applicable uniquement si les SUSARs et Line Listing  sont transmis par email ou courrier  
Gestion par papier: 100€
Gestion sur plateforme: 300€</t>
        </is>
      </c>
    </row>
    <row r="76" ht="24.75" customFormat="1" customHeight="1" s="5">
      <c r="A76" s="222" t="inlineStr">
        <is>
          <t>Temps médical supplémentaire (116,4€/h)</t>
        </is>
      </c>
      <c r="B76" s="195" t="n"/>
      <c r="C76" s="195" t="n"/>
      <c r="D76" s="195" t="n"/>
      <c r="E76" s="195" t="n"/>
      <c r="F76" s="196" t="n"/>
      <c r="G76" s="124" t="n"/>
      <c r="H76" s="146" t="n"/>
      <c r="I76" s="1" t="n"/>
      <c r="J76" s="1" t="n"/>
      <c r="K76" s="1" t="n"/>
      <c r="L76" s="1" t="n"/>
      <c r="M76" s="1" t="n"/>
      <c r="N76" s="1" t="n"/>
      <c r="O76" s="1" t="n"/>
      <c r="P76" s="1" t="n"/>
      <c r="Q76" s="1" t="n"/>
      <c r="R76" s="1" t="n"/>
      <c r="S76" s="1" t="n"/>
      <c r="T76" s="1" t="n"/>
      <c r="U76" s="1" t="n"/>
      <c r="V76" s="1" t="n"/>
      <c r="W76" s="1" t="n"/>
      <c r="X76" s="1" t="n"/>
      <c r="Y76" s="1" t="n"/>
      <c r="Z76" s="1" t="n"/>
      <c r="AA76" s="1" t="n"/>
      <c r="AB76" s="1" t="n"/>
      <c r="AC76" s="1" t="n"/>
      <c r="AD76" s="1" t="n"/>
      <c r="AE76" s="1" t="n"/>
      <c r="AF76" s="1" t="n"/>
      <c r="AG76" s="1" t="n"/>
      <c r="AH76" s="1" t="n"/>
      <c r="AI76" s="1" t="n"/>
      <c r="AJ76" s="1" t="n"/>
      <c r="AK76" s="1" t="n"/>
      <c r="AL76" s="1" t="n"/>
      <c r="AM76" s="1" t="n"/>
      <c r="AN76" s="1" t="n"/>
      <c r="AO76" s="1" t="n"/>
      <c r="AP76" s="1" t="n"/>
      <c r="AQ76" s="1" t="n"/>
      <c r="AR76" s="1" t="n"/>
      <c r="AS76" s="1" t="n"/>
      <c r="AT76" s="1" t="n"/>
      <c r="AU76" s="1" t="n"/>
      <c r="AV76" s="1" t="n"/>
      <c r="AW76" s="1" t="n"/>
      <c r="AX76" s="1" t="n"/>
      <c r="AY76" s="1" t="n"/>
      <c r="AZ76" s="1" t="n"/>
      <c r="BA76" s="1" t="n"/>
      <c r="BB76" s="1" t="n"/>
      <c r="BC76" s="1" t="n"/>
      <c r="BD76" s="1" t="n"/>
      <c r="BE76" s="1" t="n"/>
      <c r="BF76" s="1" t="n"/>
      <c r="BG76" s="1" t="n"/>
      <c r="BH76" s="1" t="n"/>
      <c r="BI76" s="1" t="n"/>
      <c r="BJ76" s="1" t="n"/>
      <c r="BK76" s="1" t="n"/>
      <c r="BL76" s="1" t="n"/>
      <c r="BM76" s="1" t="n"/>
      <c r="BN76" s="1" t="n"/>
      <c r="BO76" s="1" t="n"/>
      <c r="BP76" s="1" t="n"/>
      <c r="BQ76" s="1" t="n"/>
      <c r="BR76" s="1" t="n"/>
      <c r="BS76" s="1" t="n"/>
      <c r="BT76" s="1" t="n"/>
      <c r="BU76" s="1" t="n"/>
      <c r="BV76" s="1" t="n"/>
      <c r="BW76" s="1" t="n"/>
      <c r="BX76" s="1" t="n"/>
      <c r="BY76" s="1" t="n"/>
      <c r="BZ76" s="1" t="n"/>
      <c r="CA76" s="1" t="n"/>
      <c r="CB76" s="1" t="n"/>
      <c r="CC76" s="1" t="n"/>
      <c r="CD76" s="1" t="n"/>
      <c r="CE76" s="1" t="n"/>
      <c r="CF76" s="1" t="n"/>
      <c r="CG76" s="1" t="n"/>
      <c r="CH76" s="1" t="n"/>
      <c r="CI76" s="1" t="n"/>
      <c r="CJ76" s="1" t="n"/>
      <c r="CK76" s="1" t="n"/>
      <c r="CL76" s="1" t="n"/>
      <c r="CM76" s="1" t="n"/>
      <c r="CN76" s="1" t="n"/>
      <c r="CO76" s="1" t="n"/>
      <c r="CP76" s="1" t="n"/>
      <c r="CQ76" s="1" t="n"/>
      <c r="CR76" s="1" t="n"/>
      <c r="CS76" s="1" t="n"/>
      <c r="CT76" s="1" t="n"/>
      <c r="CU76" s="1" t="n"/>
      <c r="CV76" s="1" t="n"/>
      <c r="CW76" s="1" t="n"/>
      <c r="CX76" s="1" t="n"/>
      <c r="CY76" s="1" t="n"/>
      <c r="CZ76" s="1" t="n"/>
      <c r="DA76" s="1" t="n"/>
      <c r="DB76" s="1" t="n"/>
      <c r="DC76" s="1" t="n"/>
      <c r="DD76" s="1" t="n"/>
      <c r="DE76" s="1" t="n"/>
      <c r="DF76" s="1" t="n"/>
      <c r="DG76" s="1" t="n"/>
      <c r="DH76" s="1" t="n"/>
      <c r="DI76" s="1" t="n"/>
      <c r="DJ76" s="1" t="n"/>
      <c r="DK76" s="1" t="n"/>
      <c r="DL76" s="1" t="n"/>
      <c r="DM76" s="1" t="n"/>
      <c r="DN76" s="1" t="n"/>
      <c r="DO76" s="1" t="n"/>
      <c r="DP76" s="1" t="n"/>
      <c r="DQ76" s="1" t="n"/>
      <c r="DR76" s="1" t="n"/>
      <c r="DS76" s="1" t="n"/>
      <c r="DT76" s="1" t="n"/>
      <c r="DU76" s="1" t="n"/>
      <c r="DV76" s="1" t="n"/>
      <c r="DW76" s="1" t="n"/>
      <c r="DX76" s="1" t="n"/>
      <c r="DY76" s="1" t="n"/>
      <c r="DZ76" s="1" t="n"/>
      <c r="EA76" s="1" t="n"/>
      <c r="EB76" s="1" t="n"/>
      <c r="EC76" s="1" t="n"/>
      <c r="ED76" s="1" t="n"/>
      <c r="EE76" s="1" t="n"/>
      <c r="EF76" s="1" t="n"/>
      <c r="EG76" s="1" t="n"/>
      <c r="EH76" s="1" t="n"/>
      <c r="EI76" s="1" t="n"/>
      <c r="EJ76" s="1" t="n"/>
      <c r="EK76" s="1" t="n"/>
      <c r="EL76" s="1" t="n"/>
      <c r="EM76" s="1" t="n"/>
      <c r="EN76" s="1" t="n"/>
      <c r="EO76" s="1" t="n"/>
      <c r="EP76" s="1" t="n"/>
      <c r="EQ76" s="1" t="n"/>
      <c r="ER76" s="1" t="n"/>
      <c r="ES76" s="1" t="n"/>
      <c r="ET76" s="1" t="n"/>
      <c r="EU76" s="1" t="n"/>
      <c r="EV76" s="1" t="n"/>
      <c r="EW76" s="1" t="n"/>
      <c r="EX76" s="1" t="n"/>
      <c r="EY76" s="1" t="n"/>
    </row>
    <row r="77" ht="83.25" customFormat="1" customHeight="1" s="5">
      <c r="A77" s="63" t="inlineStr">
        <is>
          <t>Temps médical
Temps médical en sus de la pratique courante : formation, examen spécifique, suivi téléphonique,  téléconsultation et non pris en compte dans les actes réalisés dans le cadre de la recherche, par heure.
Lister les visites</t>
        </is>
      </c>
      <c r="B77" s="72" t="inlineStr">
        <is>
          <t>Par patient</t>
        </is>
      </c>
      <c r="C77" s="11" t="inlineStr">
        <is>
          <t>coût</t>
        </is>
      </c>
      <c r="D77" s="35" t="n">
        <v>116.4</v>
      </c>
      <c r="E77" s="32" t="n"/>
      <c r="F77" s="35">
        <f>D77*E77</f>
        <v/>
      </c>
      <c r="G77" s="117">
        <f>F77*$B$10</f>
        <v/>
      </c>
      <c r="H77" s="139" t="inlineStr">
        <is>
          <t>Le temps médical relatif aux autres services impliqués sera ajouté dans la ligne ci-dessous
(ex: si temps médical ophtalmo pour une étude en hématologie)
 - Actes réalisés via l'établissement en interne 
- Actes réalisés via l' établissement en externe aux frais réels
- Contrat de prestation aux frais réels</t>
        </is>
      </c>
      <c r="I77" s="1" t="n"/>
      <c r="J77" s="1" t="n"/>
      <c r="K77" s="1" t="n"/>
      <c r="L77" s="1" t="n"/>
      <c r="M77" s="1" t="n"/>
      <c r="N77" s="1" t="n"/>
      <c r="O77" s="1" t="n"/>
      <c r="P77" s="1" t="n"/>
      <c r="Q77" s="1" t="n"/>
      <c r="R77" s="1" t="n"/>
      <c r="S77" s="1" t="n"/>
      <c r="T77" s="1" t="n"/>
      <c r="U77" s="1" t="n"/>
      <c r="V77" s="1" t="n"/>
      <c r="W77" s="1" t="n"/>
      <c r="X77" s="1" t="n"/>
      <c r="Y77" s="1" t="n"/>
      <c r="Z77" s="1" t="n"/>
      <c r="AA77" s="1" t="n"/>
      <c r="AB77" s="1" t="n"/>
      <c r="AC77" s="1" t="n"/>
      <c r="AD77" s="1" t="n"/>
      <c r="AE77" s="1" t="n"/>
      <c r="AF77" s="1" t="n"/>
      <c r="AG77" s="1" t="n"/>
      <c r="AH77" s="1" t="n"/>
      <c r="AI77" s="1" t="n"/>
      <c r="AJ77" s="1" t="n"/>
      <c r="AK77" s="1" t="n"/>
      <c r="AL77" s="1" t="n"/>
      <c r="AM77" s="1" t="n"/>
      <c r="AN77" s="1" t="n"/>
      <c r="AO77" s="1" t="n"/>
      <c r="AP77" s="1" t="n"/>
      <c r="AQ77" s="1" t="n"/>
      <c r="AR77" s="1" t="n"/>
      <c r="AS77" s="1" t="n"/>
      <c r="AT77" s="1" t="n"/>
      <c r="AU77" s="1" t="n"/>
      <c r="AV77" s="1" t="n"/>
      <c r="AW77" s="1" t="n"/>
      <c r="AX77" s="1" t="n"/>
      <c r="AY77" s="1" t="n"/>
      <c r="AZ77" s="1" t="n"/>
      <c r="BA77" s="1" t="n"/>
      <c r="BB77" s="1" t="n"/>
      <c r="BC77" s="1" t="n"/>
      <c r="BD77" s="1" t="n"/>
      <c r="BE77" s="1" t="n"/>
      <c r="BF77" s="1" t="n"/>
      <c r="BG77" s="1" t="n"/>
      <c r="BH77" s="1" t="n"/>
      <c r="BI77" s="1" t="n"/>
      <c r="BJ77" s="1" t="n"/>
      <c r="BK77" s="1" t="n"/>
      <c r="BL77" s="1" t="n"/>
      <c r="BM77" s="1" t="n"/>
      <c r="BN77" s="1" t="n"/>
      <c r="BO77" s="1" t="n"/>
      <c r="BP77" s="1" t="n"/>
      <c r="BQ77" s="1" t="n"/>
      <c r="BR77" s="1" t="n"/>
      <c r="BS77" s="1" t="n"/>
      <c r="BT77" s="1" t="n"/>
      <c r="BU77" s="1" t="n"/>
      <c r="BV77" s="1" t="n"/>
      <c r="BW77" s="1" t="n"/>
      <c r="BX77" s="1" t="n"/>
      <c r="BY77" s="1" t="n"/>
      <c r="BZ77" s="1" t="n"/>
      <c r="CA77" s="1" t="n"/>
      <c r="CB77" s="1" t="n"/>
      <c r="CC77" s="1" t="n"/>
      <c r="CD77" s="1" t="n"/>
      <c r="CE77" s="1" t="n"/>
      <c r="CF77" s="1" t="n"/>
      <c r="CG77" s="1" t="n"/>
      <c r="CH77" s="1" t="n"/>
      <c r="CI77" s="1" t="n"/>
      <c r="CJ77" s="1" t="n"/>
      <c r="CK77" s="1" t="n"/>
      <c r="CL77" s="1" t="n"/>
      <c r="CM77" s="1" t="n"/>
      <c r="CN77" s="1" t="n"/>
      <c r="CO77" s="1" t="n"/>
      <c r="CP77" s="1" t="n"/>
      <c r="CQ77" s="1" t="n"/>
      <c r="CR77" s="1" t="n"/>
      <c r="CS77" s="1" t="n"/>
      <c r="CT77" s="1" t="n"/>
      <c r="CU77" s="1" t="n"/>
      <c r="CV77" s="1" t="n"/>
      <c r="CW77" s="1" t="n"/>
      <c r="CX77" s="1" t="n"/>
      <c r="CY77" s="1" t="n"/>
      <c r="CZ77" s="1" t="n"/>
      <c r="DA77" s="1" t="n"/>
      <c r="DB77" s="1" t="n"/>
      <c r="DC77" s="1" t="n"/>
      <c r="DD77" s="1" t="n"/>
      <c r="DE77" s="1" t="n"/>
      <c r="DF77" s="1" t="n"/>
      <c r="DG77" s="1" t="n"/>
      <c r="DH77" s="1" t="n"/>
      <c r="DI77" s="1" t="n"/>
      <c r="DJ77" s="1" t="n"/>
      <c r="DK77" s="1" t="n"/>
      <c r="DL77" s="1" t="n"/>
      <c r="DM77" s="1" t="n"/>
      <c r="DN77" s="1" t="n"/>
      <c r="DO77" s="1" t="n"/>
      <c r="DP77" s="1" t="n"/>
      <c r="DQ77" s="1" t="n"/>
      <c r="DR77" s="1" t="n"/>
      <c r="DS77" s="1" t="n"/>
      <c r="DT77" s="1" t="n"/>
      <c r="DU77" s="1" t="n"/>
      <c r="DV77" s="1" t="n"/>
      <c r="DW77" s="1" t="n"/>
      <c r="DX77" s="1" t="n"/>
      <c r="DY77" s="1" t="n"/>
      <c r="DZ77" s="1" t="n"/>
      <c r="EA77" s="1" t="n"/>
      <c r="EB77" s="1" t="n"/>
      <c r="EC77" s="1" t="n"/>
      <c r="ED77" s="1" t="n"/>
      <c r="EE77" s="1" t="n"/>
      <c r="EF77" s="1" t="n"/>
      <c r="EG77" s="1" t="n"/>
      <c r="EH77" s="1" t="n"/>
      <c r="EI77" s="1" t="n"/>
      <c r="EJ77" s="1" t="n"/>
      <c r="EK77" s="1" t="n"/>
      <c r="EL77" s="1" t="n"/>
      <c r="EM77" s="1" t="n"/>
      <c r="EN77" s="1" t="n"/>
      <c r="EO77" s="1" t="n"/>
      <c r="EP77" s="1" t="n"/>
      <c r="EQ77" s="1" t="n"/>
      <c r="ER77" s="1" t="n"/>
      <c r="ES77" s="1" t="n"/>
      <c r="ET77" s="1" t="n"/>
      <c r="EU77" s="1" t="n"/>
      <c r="EV77" s="1" t="n"/>
      <c r="EW77" s="1" t="n"/>
      <c r="EX77" s="1" t="n"/>
      <c r="EY77" s="1" t="n"/>
    </row>
    <row r="78" ht="69" customFormat="1" customHeight="1" s="5">
      <c r="A78" s="94" t="inlineStr">
        <is>
          <t>Temps Médical - spécialité médicale
Tps médical en sus de la pratique courante : formation, examen spécifique, suivi téléphonique et non pris en compte dans les actes réalisés dans le cadre de la RIPH, par heure
Lister les visites</t>
        </is>
      </c>
      <c r="B78" s="72" t="inlineStr">
        <is>
          <t xml:space="preserve">Par patient
</t>
        </is>
      </c>
      <c r="C78" s="20" t="inlineStr">
        <is>
          <t>coût</t>
        </is>
      </c>
      <c r="D78" s="35" t="n">
        <v>116.4</v>
      </c>
      <c r="E78" s="26" t="n"/>
      <c r="F78" s="35">
        <f>D78*E78</f>
        <v/>
      </c>
      <c r="G78" s="117">
        <f>F78*$B$10</f>
        <v/>
      </c>
      <c r="H78" s="139" t="inlineStr">
        <is>
          <t xml:space="preserve"> - Actes réalisés via le établissement interne 
- Actes réalisés via le établissement en externe aux frais réels
- Contrat de prestation aux frais réels</t>
        </is>
      </c>
      <c r="I78" s="1" t="n"/>
      <c r="J78" s="1" t="n"/>
      <c r="K78" s="1" t="n"/>
      <c r="L78" s="1" t="n"/>
      <c r="M78" s="1" t="n"/>
      <c r="N78" s="1" t="n"/>
      <c r="O78" s="1" t="n"/>
      <c r="P78" s="1" t="n"/>
      <c r="Q78" s="1" t="n"/>
      <c r="R78" s="1" t="n"/>
      <c r="S78" s="1" t="n"/>
      <c r="T78" s="1" t="n"/>
      <c r="U78" s="1" t="n"/>
      <c r="V78" s="1" t="n"/>
      <c r="W78" s="1" t="n"/>
      <c r="X78" s="1" t="n"/>
      <c r="Y78" s="1" t="n"/>
      <c r="Z78" s="1" t="n"/>
      <c r="AA78" s="1" t="n"/>
      <c r="AB78" s="1" t="n"/>
      <c r="AC78" s="1" t="n"/>
      <c r="AD78" s="1" t="n"/>
      <c r="AE78" s="1" t="n"/>
      <c r="AF78" s="1" t="n"/>
      <c r="AG78" s="1" t="n"/>
      <c r="AH78" s="1" t="n"/>
      <c r="AI78" s="1" t="n"/>
      <c r="AJ78" s="1" t="n"/>
      <c r="AK78" s="1" t="n"/>
      <c r="AL78" s="1" t="n"/>
      <c r="AM78" s="1" t="n"/>
      <c r="AN78" s="1" t="n"/>
      <c r="AO78" s="1" t="n"/>
      <c r="AP78" s="1" t="n"/>
      <c r="AQ78" s="1" t="n"/>
      <c r="AR78" s="1" t="n"/>
      <c r="AS78" s="1" t="n"/>
      <c r="AT78" s="1" t="n"/>
      <c r="AU78" s="1" t="n"/>
      <c r="AV78" s="1" t="n"/>
      <c r="AW78" s="1" t="n"/>
      <c r="AX78" s="1" t="n"/>
      <c r="AY78" s="1" t="n"/>
      <c r="AZ78" s="1" t="n"/>
      <c r="BA78" s="1" t="n"/>
      <c r="BB78" s="1" t="n"/>
      <c r="BC78" s="1" t="n"/>
      <c r="BD78" s="1" t="n"/>
      <c r="BE78" s="1" t="n"/>
      <c r="BF78" s="1" t="n"/>
      <c r="BG78" s="1" t="n"/>
      <c r="BH78" s="1" t="n"/>
      <c r="BI78" s="1" t="n"/>
      <c r="BJ78" s="1" t="n"/>
      <c r="BK78" s="1" t="n"/>
      <c r="BL78" s="1" t="n"/>
      <c r="BM78" s="1" t="n"/>
      <c r="BN78" s="1" t="n"/>
      <c r="BO78" s="1" t="n"/>
      <c r="BP78" s="1" t="n"/>
      <c r="BQ78" s="1" t="n"/>
      <c r="BR78" s="1" t="n"/>
      <c r="BS78" s="1" t="n"/>
      <c r="BT78" s="1" t="n"/>
      <c r="BU78" s="1" t="n"/>
      <c r="BV78" s="1" t="n"/>
      <c r="BW78" s="1" t="n"/>
      <c r="BX78" s="1" t="n"/>
      <c r="BY78" s="1" t="n"/>
      <c r="BZ78" s="1" t="n"/>
      <c r="CA78" s="1" t="n"/>
      <c r="CB78" s="1" t="n"/>
      <c r="CC78" s="1" t="n"/>
      <c r="CD78" s="1" t="n"/>
      <c r="CE78" s="1" t="n"/>
      <c r="CF78" s="1" t="n"/>
      <c r="CG78" s="1" t="n"/>
      <c r="CH78" s="1" t="n"/>
      <c r="CI78" s="1" t="n"/>
      <c r="CJ78" s="1" t="n"/>
      <c r="CK78" s="1" t="n"/>
      <c r="CL78" s="1" t="n"/>
      <c r="CM78" s="1" t="n"/>
      <c r="CN78" s="1" t="n"/>
      <c r="CO78" s="1" t="n"/>
      <c r="CP78" s="1" t="n"/>
      <c r="CQ78" s="1" t="n"/>
      <c r="CR78" s="1" t="n"/>
      <c r="CS78" s="1" t="n"/>
      <c r="CT78" s="1" t="n"/>
      <c r="CU78" s="1" t="n"/>
      <c r="CV78" s="1" t="n"/>
      <c r="CW78" s="1" t="n"/>
      <c r="CX78" s="1" t="n"/>
      <c r="CY78" s="1" t="n"/>
      <c r="CZ78" s="1" t="n"/>
      <c r="DA78" s="1" t="n"/>
      <c r="DB78" s="1" t="n"/>
      <c r="DC78" s="1" t="n"/>
      <c r="DD78" s="1" t="n"/>
      <c r="DE78" s="1" t="n"/>
      <c r="DF78" s="1" t="n"/>
      <c r="DG78" s="1" t="n"/>
      <c r="DH78" s="1" t="n"/>
      <c r="DI78" s="1" t="n"/>
      <c r="DJ78" s="1" t="n"/>
      <c r="DK78" s="1" t="n"/>
      <c r="DL78" s="1" t="n"/>
      <c r="DM78" s="1" t="n"/>
      <c r="DN78" s="1" t="n"/>
      <c r="DO78" s="1" t="n"/>
      <c r="DP78" s="1" t="n"/>
      <c r="DQ78" s="1" t="n"/>
      <c r="DR78" s="1" t="n"/>
      <c r="DS78" s="1" t="n"/>
      <c r="DT78" s="1" t="n"/>
      <c r="DU78" s="1" t="n"/>
      <c r="DV78" s="1" t="n"/>
      <c r="DW78" s="1" t="n"/>
      <c r="DX78" s="1" t="n"/>
      <c r="DY78" s="1" t="n"/>
      <c r="DZ78" s="1" t="n"/>
      <c r="EA78" s="1" t="n"/>
      <c r="EB78" s="1" t="n"/>
      <c r="EC78" s="1" t="n"/>
      <c r="ED78" s="1" t="n"/>
      <c r="EE78" s="1" t="n"/>
      <c r="EF78" s="1" t="n"/>
      <c r="EG78" s="1" t="n"/>
      <c r="EH78" s="1" t="n"/>
      <c r="EI78" s="1" t="n"/>
      <c r="EJ78" s="1" t="n"/>
      <c r="EK78" s="1" t="n"/>
      <c r="EL78" s="1" t="n"/>
      <c r="EM78" s="1" t="n"/>
      <c r="EN78" s="1" t="n"/>
      <c r="EO78" s="1" t="n"/>
      <c r="EP78" s="1" t="n"/>
      <c r="EQ78" s="1" t="n"/>
      <c r="ER78" s="1" t="n"/>
      <c r="ES78" s="1" t="n"/>
      <c r="ET78" s="1" t="n"/>
      <c r="EU78" s="1" t="n"/>
      <c r="EV78" s="1" t="n"/>
      <c r="EW78" s="1" t="n"/>
      <c r="EX78" s="1" t="n"/>
      <c r="EY78" s="1" t="n"/>
    </row>
    <row r="79" ht="45" customFormat="1" customHeight="1" s="52">
      <c r="A79" s="184" t="inlineStr">
        <is>
          <t>Temps médical : participation aux téléconférences
1h
Applicable pour les essais de phase 1</t>
        </is>
      </c>
      <c r="B79" s="9" t="inlineStr">
        <is>
          <t xml:space="preserve">Par téléconférence
</t>
        </is>
      </c>
      <c r="C79" s="13" t="inlineStr">
        <is>
          <t>coût</t>
        </is>
      </c>
      <c r="D79" s="35" t="n">
        <v>116.4</v>
      </c>
      <c r="E79" s="50" t="n"/>
      <c r="F79" s="35">
        <f>D79*E79</f>
        <v/>
      </c>
      <c r="G79" s="126">
        <f>F79</f>
        <v/>
      </c>
      <c r="H79" s="139" t="inlineStr">
        <is>
          <t>Ligne applicable pour les essais de phase 1</t>
        </is>
      </c>
    </row>
    <row r="80" ht="60" customFormat="1" customHeight="1" s="52">
      <c r="A80" s="184" t="inlineStr">
        <is>
          <t xml:space="preserve">Temps médical :  Formations spécifiques demandées par le sponsor ou son prestataire
1h par formation 
</t>
        </is>
      </c>
      <c r="B80" s="9" t="inlineStr">
        <is>
          <t xml:space="preserve">par personnel formé et par formation demandée
</t>
        </is>
      </c>
      <c r="C80" s="13" t="inlineStr">
        <is>
          <t>coût</t>
        </is>
      </c>
      <c r="D80" s="35" t="n">
        <v>116.4</v>
      </c>
      <c r="E80" s="55" t="n"/>
      <c r="F80" s="35">
        <f>D80*E80</f>
        <v/>
      </c>
      <c r="G80" s="126" t="inlineStr">
        <is>
          <t>Au prorata</t>
        </is>
      </c>
      <c r="H80" s="139" t="inlineStr">
        <is>
          <t>Temps médical ajouté en cas de  formations spécifiques demandées par le promoteur ou son prestataire</t>
        </is>
      </c>
    </row>
    <row r="81" ht="21.75" customFormat="1" customHeight="1" s="5">
      <c r="A81" s="222" t="inlineStr">
        <is>
          <t>Temps TEC supplémentaire (57,5€/h)</t>
        </is>
      </c>
      <c r="B81" s="195" t="n"/>
      <c r="C81" s="195" t="n"/>
      <c r="D81" s="195" t="n"/>
      <c r="E81" s="195" t="n"/>
      <c r="F81" s="196" t="n"/>
      <c r="G81" s="166" t="n"/>
      <c r="H81" s="146" t="n"/>
      <c r="I81" s="1" t="n"/>
      <c r="J81" s="1" t="n"/>
      <c r="K81" s="1" t="n"/>
      <c r="L81" s="1" t="n"/>
      <c r="M81" s="1" t="n"/>
      <c r="N81" s="1" t="n"/>
      <c r="O81" s="1" t="n"/>
      <c r="P81" s="1" t="n"/>
      <c r="Q81" s="1" t="n"/>
      <c r="R81" s="1" t="n"/>
      <c r="S81" s="1" t="n"/>
      <c r="T81" s="1" t="n"/>
      <c r="U81" s="1" t="n"/>
      <c r="V81" s="1" t="n"/>
      <c r="W81" s="1" t="n"/>
      <c r="X81" s="1" t="n"/>
      <c r="Y81" s="1" t="n"/>
      <c r="Z81" s="1" t="n"/>
      <c r="AA81" s="1" t="n"/>
      <c r="AB81" s="1" t="n"/>
      <c r="AC81" s="1" t="n"/>
      <c r="AD81" s="1" t="n"/>
      <c r="AE81" s="1" t="n"/>
      <c r="AF81" s="1" t="n"/>
      <c r="AG81" s="1" t="n"/>
      <c r="AH81" s="1" t="n"/>
      <c r="AI81" s="1" t="n"/>
      <c r="AJ81" s="1" t="n"/>
      <c r="AK81" s="1" t="n"/>
      <c r="AL81" s="1" t="n"/>
      <c r="AM81" s="1" t="n"/>
      <c r="AN81" s="1" t="n"/>
      <c r="AO81" s="1" t="n"/>
      <c r="AP81" s="1" t="n"/>
      <c r="AQ81" s="1" t="n"/>
      <c r="AR81" s="1" t="n"/>
      <c r="AS81" s="1" t="n"/>
      <c r="AT81" s="1" t="n"/>
      <c r="AU81" s="1" t="n"/>
      <c r="AV81" s="1" t="n"/>
      <c r="AW81" s="1" t="n"/>
      <c r="AX81" s="1" t="n"/>
      <c r="AY81" s="1" t="n"/>
      <c r="AZ81" s="1" t="n"/>
      <c r="BA81" s="1" t="n"/>
      <c r="BB81" s="1" t="n"/>
      <c r="BC81" s="1" t="n"/>
      <c r="BD81" s="1" t="n"/>
      <c r="BE81" s="1" t="n"/>
      <c r="BF81" s="1" t="n"/>
      <c r="BG81" s="1" t="n"/>
      <c r="BH81" s="1" t="n"/>
      <c r="BI81" s="1" t="n"/>
      <c r="BJ81" s="1" t="n"/>
      <c r="BK81" s="1" t="n"/>
      <c r="BL81" s="1" t="n"/>
      <c r="BM81" s="1" t="n"/>
      <c r="BN81" s="1" t="n"/>
      <c r="BO81" s="1" t="n"/>
      <c r="BP81" s="1" t="n"/>
      <c r="BQ81" s="1" t="n"/>
      <c r="BR81" s="1" t="n"/>
      <c r="BS81" s="1" t="n"/>
      <c r="BT81" s="1" t="n"/>
      <c r="BU81" s="1" t="n"/>
      <c r="BV81" s="1" t="n"/>
      <c r="BW81" s="1" t="n"/>
      <c r="BX81" s="1" t="n"/>
      <c r="BY81" s="1" t="n"/>
      <c r="BZ81" s="1" t="n"/>
      <c r="CA81" s="1" t="n"/>
      <c r="CB81" s="1" t="n"/>
      <c r="CC81" s="1" t="n"/>
      <c r="CD81" s="1" t="n"/>
      <c r="CE81" s="1" t="n"/>
      <c r="CF81" s="1" t="n"/>
      <c r="CG81" s="1" t="n"/>
      <c r="CH81" s="1" t="n"/>
      <c r="CI81" s="1" t="n"/>
      <c r="CJ81" s="1" t="n"/>
      <c r="CK81" s="1" t="n"/>
      <c r="CL81" s="1" t="n"/>
      <c r="CM81" s="1" t="n"/>
      <c r="CN81" s="1" t="n"/>
      <c r="CO81" s="1" t="n"/>
      <c r="CP81" s="1" t="n"/>
      <c r="CQ81" s="1" t="n"/>
      <c r="CR81" s="1" t="n"/>
      <c r="CS81" s="1" t="n"/>
      <c r="CT81" s="1" t="n"/>
      <c r="CU81" s="1" t="n"/>
      <c r="CV81" s="1" t="n"/>
      <c r="CW81" s="1" t="n"/>
      <c r="CX81" s="1" t="n"/>
      <c r="CY81" s="1" t="n"/>
      <c r="CZ81" s="1" t="n"/>
      <c r="DA81" s="1" t="n"/>
      <c r="DB81" s="1" t="n"/>
      <c r="DC81" s="1" t="n"/>
      <c r="DD81" s="1" t="n"/>
      <c r="DE81" s="1" t="n"/>
      <c r="DF81" s="1" t="n"/>
      <c r="DG81" s="1" t="n"/>
      <c r="DH81" s="1" t="n"/>
      <c r="DI81" s="1" t="n"/>
      <c r="DJ81" s="1" t="n"/>
      <c r="DK81" s="1" t="n"/>
      <c r="DL81" s="1" t="n"/>
      <c r="DM81" s="1" t="n"/>
      <c r="DN81" s="1" t="n"/>
      <c r="DO81" s="1" t="n"/>
      <c r="DP81" s="1" t="n"/>
      <c r="DQ81" s="1" t="n"/>
      <c r="DR81" s="1" t="n"/>
      <c r="DS81" s="1" t="n"/>
      <c r="DT81" s="1" t="n"/>
      <c r="DU81" s="1" t="n"/>
      <c r="DV81" s="1" t="n"/>
      <c r="DW81" s="1" t="n"/>
      <c r="DX81" s="1" t="n"/>
      <c r="DY81" s="1" t="n"/>
      <c r="DZ81" s="1" t="n"/>
      <c r="EA81" s="1" t="n"/>
      <c r="EB81" s="1" t="n"/>
      <c r="EC81" s="1" t="n"/>
      <c r="ED81" s="1" t="n"/>
      <c r="EE81" s="1" t="n"/>
      <c r="EF81" s="1" t="n"/>
      <c r="EG81" s="1" t="n"/>
      <c r="EH81" s="1" t="n"/>
      <c r="EI81" s="1" t="n"/>
      <c r="EJ81" s="1" t="n"/>
      <c r="EK81" s="1" t="n"/>
      <c r="EL81" s="1" t="n"/>
      <c r="EM81" s="1" t="n"/>
      <c r="EN81" s="1" t="n"/>
      <c r="EO81" s="1" t="n"/>
      <c r="EP81" s="1" t="n"/>
      <c r="EQ81" s="1" t="n"/>
      <c r="ER81" s="1" t="n"/>
      <c r="ES81" s="1" t="n"/>
      <c r="ET81" s="1" t="n"/>
      <c r="EU81" s="1" t="n"/>
      <c r="EV81" s="1" t="n"/>
      <c r="EW81" s="1" t="n"/>
      <c r="EX81" s="1" t="n"/>
      <c r="EY81" s="1" t="n"/>
    </row>
    <row r="82" ht="45" customFormat="1" customHeight="1" s="52">
      <c r="A82" s="183" t="inlineStr">
        <is>
          <t xml:space="preserve">Temps TEC Nouveau consentement (suite à une MS)
Transmission , la récupération, la tracabilité  </t>
        </is>
      </c>
      <c r="B82" s="9" t="inlineStr">
        <is>
          <t>Par patient et par version de consentement 
(15 min)</t>
        </is>
      </c>
      <c r="C82" s="13" t="inlineStr">
        <is>
          <t>coût</t>
        </is>
      </c>
      <c r="D82" s="35" t="n">
        <v>14.37</v>
      </c>
      <c r="E82" s="50" t="n"/>
      <c r="F82" s="37">
        <f>D82*E82</f>
        <v/>
      </c>
      <c r="G82" s="125" t="inlineStr">
        <is>
          <t>Au prorata</t>
        </is>
      </c>
      <c r="H82" s="139" t="inlineStr">
        <is>
          <t xml:space="preserve">Correspond au temps TEC pour la transmission de la nouvelle version de la note d'information et du consentement, la récupération, la tracabilité  </t>
        </is>
      </c>
    </row>
    <row r="83" ht="53.25" customFormat="1" customHeight="1" s="53">
      <c r="A83" s="184" t="inlineStr">
        <is>
          <t xml:space="preserve">Temps TEC  : Formations spécifiques demandées par le sponsor ou son prestataire
1h par formation </t>
        </is>
      </c>
      <c r="B83" s="9" t="inlineStr">
        <is>
          <t xml:space="preserve">par personnel formé et par formation demandée
</t>
        </is>
      </c>
      <c r="C83" s="95" t="inlineStr">
        <is>
          <t>coût</t>
        </is>
      </c>
      <c r="D83" s="35" t="n">
        <v>57.5</v>
      </c>
      <c r="E83" s="56" t="n"/>
      <c r="F83" s="37">
        <f>D83*E83</f>
        <v/>
      </c>
      <c r="G83" s="125" t="inlineStr">
        <is>
          <t>Au prorata</t>
        </is>
      </c>
      <c r="H83" s="139" t="inlineStr">
        <is>
          <t>Temps TEC ajouté en cas de  formations spécifiques demandées par le sponsor ou son prestataire</t>
        </is>
      </c>
    </row>
    <row r="84" ht="30" customFormat="1" customHeight="1" s="52">
      <c r="A84" s="184" t="inlineStr">
        <is>
          <t xml:space="preserve">Temps TEC : formation initiale à la plateforme de gestion des remboursements des transports patients 1h </t>
        </is>
      </c>
      <c r="B84" s="9" t="inlineStr">
        <is>
          <t xml:space="preserve">Forfait par établissement 
</t>
        </is>
      </c>
      <c r="C84" s="13" t="inlineStr">
        <is>
          <t>coût</t>
        </is>
      </c>
      <c r="D84" s="35" t="n">
        <v>57.5</v>
      </c>
      <c r="E84" s="51" t="n"/>
      <c r="F84" s="37">
        <f>D84*E84</f>
        <v/>
      </c>
      <c r="G84" s="125" t="n"/>
      <c r="H84" s="141" t="n"/>
    </row>
    <row r="85" ht="75" customFormat="1" customHeight="1" s="52">
      <c r="A85" s="183" t="inlineStr">
        <is>
          <t xml:space="preserve">Temps TEC
Amendement aux documents de l'étude (annexe au protocole) 30 mn (manuel de laboratoire, CRF guideline , etc...)
</t>
        </is>
      </c>
      <c r="B85" s="33" t="inlineStr">
        <is>
          <t>Par amendement</t>
        </is>
      </c>
      <c r="C85" s="13" t="inlineStr">
        <is>
          <t>coût</t>
        </is>
      </c>
      <c r="D85" s="35" t="n">
        <v>28.75</v>
      </c>
      <c r="E85" s="56" t="n"/>
      <c r="F85" s="37">
        <f>D85*E85</f>
        <v/>
      </c>
      <c r="G85" s="123" t="n"/>
      <c r="H85" s="138" t="inlineStr">
        <is>
          <t xml:space="preserve">Temps pour la prise de connaissance des mises à jour des documents de l'étude </t>
        </is>
      </c>
    </row>
    <row r="86" ht="90" customFormat="1" customHeight="1" s="52">
      <c r="A86" s="183" t="inlineStr">
        <is>
          <t>Temps TEC amendement protocole nécessitant la révision des documents de l'étude + 3h</t>
        </is>
      </c>
      <c r="B86" s="33" t="inlineStr">
        <is>
          <t xml:space="preserve">Par amendement
</t>
        </is>
      </c>
      <c r="C86" s="13" t="inlineStr">
        <is>
          <t>coût</t>
        </is>
      </c>
      <c r="D86" s="71" t="inlineStr">
        <is>
          <t>Amendement sans modification des documents : 57,5€
Amendement avec modification des documents : 172,5€</t>
        </is>
      </c>
      <c r="E86" s="50" t="n"/>
      <c r="F86" s="37">
        <f>IFERROR(D86*E86, 0)</f>
        <v/>
      </c>
      <c r="G86" s="123" t="n"/>
      <c r="H86" s="138" t="inlineStr">
        <is>
          <t>Amendement sans modification des procédures internes du Centre : 1h 
Amendement avec modification des procédures internes du Centre : 3h</t>
        </is>
      </c>
    </row>
    <row r="87" ht="38.25" customFormat="1" customHeight="1" s="52">
      <c r="A87" s="184" t="inlineStr">
        <is>
          <t>Temps TEC gestion logistique de l'étude (1h)
Lister les visites</t>
        </is>
      </c>
      <c r="B87" s="9" t="inlineStr">
        <is>
          <t xml:space="preserve">Par examen 
</t>
        </is>
      </c>
      <c r="C87" s="13" t="inlineStr">
        <is>
          <t>coût</t>
        </is>
      </c>
      <c r="D87" s="35" t="n">
        <v>57.5</v>
      </c>
      <c r="E87" s="50" t="n"/>
      <c r="F87" s="37">
        <f>D87*E87</f>
        <v/>
      </c>
      <c r="G87" s="123">
        <f>F87*$B$10</f>
        <v/>
      </c>
      <c r="H87" s="138" t="inlineStr">
        <is>
          <t xml:space="preserve">Réalisation des images d'écho-cœur ou autres images à  via l' établissement prestataire de service l'établissement investigateur 
</t>
        </is>
      </c>
    </row>
    <row r="88" ht="21" customFormat="1" customHeight="1" s="5">
      <c r="A88" s="222" t="inlineStr">
        <is>
          <t>Temps infirmier : cout supplémentaire (52€/h)</t>
        </is>
      </c>
      <c r="B88" s="195" t="n"/>
      <c r="C88" s="195" t="n"/>
      <c r="D88" s="195" t="n"/>
      <c r="E88" s="195" t="n"/>
      <c r="F88" s="196" t="n"/>
      <c r="G88" s="166" t="n"/>
      <c r="H88" s="146" t="n"/>
      <c r="I88" s="1" t="n"/>
      <c r="J88" s="1" t="n"/>
      <c r="K88" s="1" t="n"/>
      <c r="L88" s="1" t="n"/>
      <c r="M88" s="1" t="n"/>
      <c r="N88" s="1" t="n"/>
      <c r="O88" s="1" t="n"/>
      <c r="P88" s="1" t="n"/>
      <c r="Q88" s="1" t="n"/>
      <c r="R88" s="1" t="n"/>
      <c r="S88" s="1" t="n"/>
      <c r="T88" s="1" t="n"/>
      <c r="U88" s="1" t="n"/>
      <c r="V88" s="1" t="n"/>
      <c r="W88" s="1" t="n"/>
      <c r="X88" s="1" t="n"/>
      <c r="Y88" s="1" t="n"/>
      <c r="Z88" s="1" t="n"/>
      <c r="AA88" s="1" t="n"/>
      <c r="AB88" s="1" t="n"/>
      <c r="AC88" s="1" t="n"/>
      <c r="AD88" s="1" t="n"/>
      <c r="AE88" s="1" t="n"/>
      <c r="AF88" s="1" t="n"/>
      <c r="AG88" s="1" t="n"/>
      <c r="AH88" s="1" t="n"/>
      <c r="AI88" s="1" t="n"/>
      <c r="AJ88" s="1" t="n"/>
      <c r="AK88" s="1" t="n"/>
      <c r="AL88" s="1" t="n"/>
      <c r="AM88" s="1" t="n"/>
      <c r="AN88" s="1" t="n"/>
      <c r="AO88" s="1" t="n"/>
      <c r="AP88" s="1" t="n"/>
      <c r="AQ88" s="1" t="n"/>
      <c r="AR88" s="1" t="n"/>
      <c r="AS88" s="1" t="n"/>
      <c r="AT88" s="1" t="n"/>
      <c r="AU88" s="1" t="n"/>
      <c r="AV88" s="1" t="n"/>
      <c r="AW88" s="1" t="n"/>
      <c r="AX88" s="1" t="n"/>
      <c r="AY88" s="1" t="n"/>
      <c r="AZ88" s="1" t="n"/>
      <c r="BA88" s="1" t="n"/>
      <c r="BB88" s="1" t="n"/>
      <c r="BC88" s="1" t="n"/>
      <c r="BD88" s="1" t="n"/>
      <c r="BE88" s="1" t="n"/>
      <c r="BF88" s="1" t="n"/>
      <c r="BG88" s="1" t="n"/>
      <c r="BH88" s="1" t="n"/>
      <c r="BI88" s="1" t="n"/>
      <c r="BJ88" s="1" t="n"/>
      <c r="BK88" s="1" t="n"/>
      <c r="BL88" s="1" t="n"/>
      <c r="BM88" s="1" t="n"/>
      <c r="BN88" s="1" t="n"/>
      <c r="BO88" s="1" t="n"/>
      <c r="BP88" s="1" t="n"/>
      <c r="BQ88" s="1" t="n"/>
      <c r="BR88" s="1" t="n"/>
      <c r="BS88" s="1" t="n"/>
      <c r="BT88" s="1" t="n"/>
      <c r="BU88" s="1" t="n"/>
      <c r="BV88" s="1" t="n"/>
      <c r="BW88" s="1" t="n"/>
      <c r="BX88" s="1" t="n"/>
      <c r="BY88" s="1" t="n"/>
      <c r="BZ88" s="1" t="n"/>
      <c r="CA88" s="1" t="n"/>
      <c r="CB88" s="1" t="n"/>
      <c r="CC88" s="1" t="n"/>
      <c r="CD88" s="1" t="n"/>
      <c r="CE88" s="1" t="n"/>
      <c r="CF88" s="1" t="n"/>
      <c r="CG88" s="1" t="n"/>
      <c r="CH88" s="1" t="n"/>
      <c r="CI88" s="1" t="n"/>
      <c r="CJ88" s="1" t="n"/>
      <c r="CK88" s="1" t="n"/>
      <c r="CL88" s="1" t="n"/>
      <c r="CM88" s="1" t="n"/>
      <c r="CN88" s="1" t="n"/>
      <c r="CO88" s="1" t="n"/>
      <c r="CP88" s="1" t="n"/>
      <c r="CQ88" s="1" t="n"/>
      <c r="CR88" s="1" t="n"/>
      <c r="CS88" s="1" t="n"/>
      <c r="CT88" s="1" t="n"/>
      <c r="CU88" s="1" t="n"/>
      <c r="CV88" s="1" t="n"/>
      <c r="CW88" s="1" t="n"/>
      <c r="CX88" s="1" t="n"/>
      <c r="CY88" s="1" t="n"/>
      <c r="CZ88" s="1" t="n"/>
      <c r="DA88" s="1" t="n"/>
      <c r="DB88" s="1" t="n"/>
      <c r="DC88" s="1" t="n"/>
      <c r="DD88" s="1" t="n"/>
      <c r="DE88" s="1" t="n"/>
      <c r="DF88" s="1" t="n"/>
      <c r="DG88" s="1" t="n"/>
      <c r="DH88" s="1" t="n"/>
      <c r="DI88" s="1" t="n"/>
      <c r="DJ88" s="1" t="n"/>
      <c r="DK88" s="1" t="n"/>
      <c r="DL88" s="1" t="n"/>
      <c r="DM88" s="1" t="n"/>
      <c r="DN88" s="1" t="n"/>
      <c r="DO88" s="1" t="n"/>
      <c r="DP88" s="1" t="n"/>
      <c r="DQ88" s="1" t="n"/>
      <c r="DR88" s="1" t="n"/>
      <c r="DS88" s="1" t="n"/>
      <c r="DT88" s="1" t="n"/>
      <c r="DU88" s="1" t="n"/>
      <c r="DV88" s="1" t="n"/>
      <c r="DW88" s="1" t="n"/>
      <c r="DX88" s="1" t="n"/>
      <c r="DY88" s="1" t="n"/>
      <c r="DZ88" s="1" t="n"/>
      <c r="EA88" s="1" t="n"/>
      <c r="EB88" s="1" t="n"/>
      <c r="EC88" s="1" t="n"/>
      <c r="ED88" s="1" t="n"/>
      <c r="EE88" s="1" t="n"/>
      <c r="EF88" s="1" t="n"/>
      <c r="EG88" s="1" t="n"/>
      <c r="EH88" s="1" t="n"/>
      <c r="EI88" s="1" t="n"/>
      <c r="EJ88" s="1" t="n"/>
      <c r="EK88" s="1" t="n"/>
      <c r="EL88" s="1" t="n"/>
      <c r="EM88" s="1" t="n"/>
      <c r="EN88" s="1" t="n"/>
      <c r="EO88" s="1" t="n"/>
      <c r="EP88" s="1" t="n"/>
      <c r="EQ88" s="1" t="n"/>
      <c r="ER88" s="1" t="n"/>
      <c r="ES88" s="1" t="n"/>
      <c r="ET88" s="1" t="n"/>
      <c r="EU88" s="1" t="n"/>
      <c r="EV88" s="1" t="n"/>
      <c r="EW88" s="1" t="n"/>
      <c r="EX88" s="1" t="n"/>
      <c r="EY88" s="1" t="n"/>
    </row>
    <row r="89" ht="25.5" customFormat="1" customHeight="1" s="52">
      <c r="A89" s="184" t="inlineStr">
        <is>
          <t>Temps IDE : formation au protocole amendé</t>
        </is>
      </c>
      <c r="B89" s="9" t="inlineStr">
        <is>
          <t xml:space="preserve">par amendement </t>
        </is>
      </c>
      <c r="C89" s="13" t="inlineStr">
        <is>
          <t>coût</t>
        </is>
      </c>
      <c r="D89" s="35" t="n">
        <v>150</v>
      </c>
      <c r="E89" s="50" t="n"/>
      <c r="F89" s="37">
        <f>D89*E89</f>
        <v/>
      </c>
      <c r="G89" s="125" t="inlineStr">
        <is>
          <t>Au prorata</t>
        </is>
      </c>
      <c r="H89" s="139" t="inlineStr">
        <is>
          <t xml:space="preserve">1 forfait pour la formation à l'amendement de l'ensemble des IDE des différents service impliqués dans l'étude </t>
        </is>
      </c>
    </row>
    <row r="90" ht="24.75" customFormat="1" customHeight="1" s="5">
      <c r="A90" s="222" t="inlineStr">
        <is>
          <t xml:space="preserve">Autres cout en lien avec du matériel de prêt dans le cadre de l'étude </t>
        </is>
      </c>
      <c r="B90" s="195" t="n"/>
      <c r="C90" s="195" t="n"/>
      <c r="D90" s="195" t="n"/>
      <c r="E90" s="195" t="n"/>
      <c r="F90" s="196" t="n"/>
      <c r="G90" s="166" t="n"/>
      <c r="H90" s="146" t="n"/>
      <c r="I90" s="1" t="n"/>
      <c r="J90" s="1" t="n"/>
      <c r="K90" s="1" t="n"/>
      <c r="L90" s="1" t="n"/>
      <c r="M90" s="1" t="n"/>
      <c r="N90" s="1" t="n"/>
      <c r="O90" s="1" t="n"/>
      <c r="P90" s="1" t="n"/>
      <c r="Q90" s="1" t="n"/>
      <c r="R90" s="1" t="n"/>
      <c r="S90" s="1" t="n"/>
      <c r="T90" s="1" t="n"/>
      <c r="U90" s="1" t="n"/>
      <c r="V90" s="1" t="n"/>
      <c r="W90" s="1" t="n"/>
      <c r="X90" s="1" t="n"/>
      <c r="Y90" s="1" t="n"/>
      <c r="Z90" s="1" t="n"/>
      <c r="AA90" s="1" t="n"/>
      <c r="AB90" s="1" t="n"/>
      <c r="AC90" s="1" t="n"/>
      <c r="AD90" s="1" t="n"/>
      <c r="AE90" s="1" t="n"/>
      <c r="AF90" s="1" t="n"/>
      <c r="AG90" s="1" t="n"/>
      <c r="AH90" s="1" t="n"/>
      <c r="AI90" s="1" t="n"/>
      <c r="AJ90" s="1" t="n"/>
      <c r="AK90" s="1" t="n"/>
      <c r="AL90" s="1" t="n"/>
      <c r="AM90" s="1" t="n"/>
      <c r="AN90" s="1" t="n"/>
      <c r="AO90" s="1" t="n"/>
      <c r="AP90" s="1" t="n"/>
      <c r="AQ90" s="1" t="n"/>
      <c r="AR90" s="1" t="n"/>
      <c r="AS90" s="1" t="n"/>
      <c r="AT90" s="1" t="n"/>
      <c r="AU90" s="1" t="n"/>
      <c r="AV90" s="1" t="n"/>
      <c r="AW90" s="1" t="n"/>
      <c r="AX90" s="1" t="n"/>
      <c r="AY90" s="1" t="n"/>
      <c r="AZ90" s="1" t="n"/>
      <c r="BA90" s="1" t="n"/>
      <c r="BB90" s="1" t="n"/>
      <c r="BC90" s="1" t="n"/>
      <c r="BD90" s="1" t="n"/>
      <c r="BE90" s="1" t="n"/>
      <c r="BF90" s="1" t="n"/>
      <c r="BG90" s="1" t="n"/>
      <c r="BH90" s="1" t="n"/>
      <c r="BI90" s="1" t="n"/>
      <c r="BJ90" s="1" t="n"/>
      <c r="BK90" s="1" t="n"/>
      <c r="BL90" s="1" t="n"/>
      <c r="BM90" s="1" t="n"/>
      <c r="BN90" s="1" t="n"/>
      <c r="BO90" s="1" t="n"/>
      <c r="BP90" s="1" t="n"/>
      <c r="BQ90" s="1" t="n"/>
      <c r="BR90" s="1" t="n"/>
      <c r="BS90" s="1" t="n"/>
      <c r="BT90" s="1" t="n"/>
      <c r="BU90" s="1" t="n"/>
      <c r="BV90" s="1" t="n"/>
      <c r="BW90" s="1" t="n"/>
      <c r="BX90" s="1" t="n"/>
      <c r="BY90" s="1" t="n"/>
      <c r="BZ90" s="1" t="n"/>
      <c r="CA90" s="1" t="n"/>
      <c r="CB90" s="1" t="n"/>
      <c r="CC90" s="1" t="n"/>
      <c r="CD90" s="1" t="n"/>
      <c r="CE90" s="1" t="n"/>
      <c r="CF90" s="1" t="n"/>
      <c r="CG90" s="1" t="n"/>
      <c r="CH90" s="1" t="n"/>
      <c r="CI90" s="1" t="n"/>
      <c r="CJ90" s="1" t="n"/>
      <c r="CK90" s="1" t="n"/>
      <c r="CL90" s="1" t="n"/>
      <c r="CM90" s="1" t="n"/>
      <c r="CN90" s="1" t="n"/>
      <c r="CO90" s="1" t="n"/>
      <c r="CP90" s="1" t="n"/>
      <c r="CQ90" s="1" t="n"/>
      <c r="CR90" s="1" t="n"/>
      <c r="CS90" s="1" t="n"/>
      <c r="CT90" s="1" t="n"/>
      <c r="CU90" s="1" t="n"/>
      <c r="CV90" s="1" t="n"/>
      <c r="CW90" s="1" t="n"/>
      <c r="CX90" s="1" t="n"/>
      <c r="CY90" s="1" t="n"/>
      <c r="CZ90" s="1" t="n"/>
      <c r="DA90" s="1" t="n"/>
      <c r="DB90" s="1" t="n"/>
      <c r="DC90" s="1" t="n"/>
      <c r="DD90" s="1" t="n"/>
      <c r="DE90" s="1" t="n"/>
      <c r="DF90" s="1" t="n"/>
      <c r="DG90" s="1" t="n"/>
      <c r="DH90" s="1" t="n"/>
      <c r="DI90" s="1" t="n"/>
      <c r="DJ90" s="1" t="n"/>
      <c r="DK90" s="1" t="n"/>
      <c r="DL90" s="1" t="n"/>
      <c r="DM90" s="1" t="n"/>
      <c r="DN90" s="1" t="n"/>
      <c r="DO90" s="1" t="n"/>
      <c r="DP90" s="1" t="n"/>
      <c r="DQ90" s="1" t="n"/>
      <c r="DR90" s="1" t="n"/>
      <c r="DS90" s="1" t="n"/>
      <c r="DT90" s="1" t="n"/>
      <c r="DU90" s="1" t="n"/>
      <c r="DV90" s="1" t="n"/>
      <c r="DW90" s="1" t="n"/>
      <c r="DX90" s="1" t="n"/>
      <c r="DY90" s="1" t="n"/>
      <c r="DZ90" s="1" t="n"/>
      <c r="EA90" s="1" t="n"/>
      <c r="EB90" s="1" t="n"/>
      <c r="EC90" s="1" t="n"/>
      <c r="ED90" s="1" t="n"/>
      <c r="EE90" s="1" t="n"/>
      <c r="EF90" s="1" t="n"/>
      <c r="EG90" s="1" t="n"/>
      <c r="EH90" s="1" t="n"/>
      <c r="EI90" s="1" t="n"/>
      <c r="EJ90" s="1" t="n"/>
      <c r="EK90" s="1" t="n"/>
      <c r="EL90" s="1" t="n"/>
      <c r="EM90" s="1" t="n"/>
      <c r="EN90" s="1" t="n"/>
      <c r="EO90" s="1" t="n"/>
      <c r="EP90" s="1" t="n"/>
      <c r="EQ90" s="1" t="n"/>
      <c r="ER90" s="1" t="n"/>
      <c r="ES90" s="1" t="n"/>
      <c r="ET90" s="1" t="n"/>
      <c r="EU90" s="1" t="n"/>
      <c r="EV90" s="1" t="n"/>
      <c r="EW90" s="1" t="n"/>
      <c r="EX90" s="1" t="n"/>
      <c r="EY90" s="1" t="n"/>
    </row>
    <row r="91" ht="51" customFormat="1" customHeight="1" s="5">
      <c r="A91" s="184" t="inlineStr">
        <is>
          <t>Forfait service biomédical en cas de prêt de matériel par le promoteur
(Si applicable)</t>
        </is>
      </c>
      <c r="B91" s="9" t="inlineStr">
        <is>
          <t>par établissement</t>
        </is>
      </c>
      <c r="C91" s="13" t="inlineStr">
        <is>
          <t>coût</t>
        </is>
      </c>
      <c r="D91" s="35" t="n">
        <v>100</v>
      </c>
      <c r="E91" s="9" t="n"/>
      <c r="F91" s="35">
        <f>D91*E91</f>
        <v/>
      </c>
      <c r="G91" s="127" t="inlineStr">
        <is>
          <t>Au prorata</t>
        </is>
      </c>
      <c r="H91" s="180" t="inlineStr">
        <is>
          <t xml:space="preserve">Implication du service biomédical dès qu'un matériel est prêté 
exemple : à ECG fournie, pompe à perfusion… : 
reception- identification informatique- test - mise à disposition dans le service- mise en fonctionnement - tracabilité - préparation et gestion retour matériel sur avis écrit du promoteur </t>
        </is>
      </c>
      <c r="I91" s="1" t="n"/>
      <c r="J91" s="1" t="n"/>
      <c r="K91" s="1" t="n"/>
      <c r="L91" s="1" t="n"/>
      <c r="M91" s="1" t="n"/>
      <c r="N91" s="1" t="n"/>
      <c r="O91" s="1" t="n"/>
      <c r="P91" s="1" t="n"/>
      <c r="Q91" s="1" t="n"/>
      <c r="R91" s="1" t="n"/>
      <c r="S91" s="1" t="n"/>
      <c r="T91" s="1" t="n"/>
      <c r="U91" s="1" t="n"/>
      <c r="V91" s="1" t="n"/>
      <c r="W91" s="1" t="n"/>
      <c r="X91" s="1" t="n"/>
      <c r="Y91" s="1" t="n"/>
      <c r="Z91" s="1" t="n"/>
      <c r="AA91" s="1" t="n"/>
      <c r="AB91" s="1" t="n"/>
      <c r="AC91" s="1" t="n"/>
      <c r="AD91" s="1" t="n"/>
      <c r="AE91" s="1" t="n"/>
      <c r="AF91" s="1" t="n"/>
      <c r="AG91" s="1" t="n"/>
      <c r="AH91" s="1" t="n"/>
      <c r="AI91" s="1" t="n"/>
      <c r="AJ91" s="1" t="n"/>
      <c r="AK91" s="1" t="n"/>
      <c r="AL91" s="1" t="n"/>
      <c r="AM91" s="1" t="n"/>
      <c r="AN91" s="1" t="n"/>
      <c r="AO91" s="1" t="n"/>
      <c r="AP91" s="1" t="n"/>
      <c r="AQ91" s="1" t="n"/>
      <c r="AR91" s="1" t="n"/>
      <c r="AS91" s="1" t="n"/>
      <c r="AT91" s="1" t="n"/>
      <c r="AU91" s="1" t="n"/>
      <c r="AV91" s="1" t="n"/>
      <c r="AW91" s="1" t="n"/>
      <c r="AX91" s="1" t="n"/>
      <c r="AY91" s="1" t="n"/>
      <c r="AZ91" s="1" t="n"/>
      <c r="BA91" s="1" t="n"/>
      <c r="BB91" s="1" t="n"/>
      <c r="BC91" s="1" t="n"/>
      <c r="BD91" s="1" t="n"/>
      <c r="BE91" s="1" t="n"/>
      <c r="BF91" s="1" t="n"/>
      <c r="BG91" s="1" t="n"/>
      <c r="BH91" s="1" t="n"/>
      <c r="BI91" s="1" t="n"/>
      <c r="BJ91" s="1" t="n"/>
      <c r="BK91" s="1" t="n"/>
      <c r="BL91" s="1" t="n"/>
      <c r="BM91" s="1" t="n"/>
      <c r="BN91" s="1" t="n"/>
      <c r="BO91" s="1" t="n"/>
      <c r="BP91" s="1" t="n"/>
      <c r="BQ91" s="1" t="n"/>
      <c r="BR91" s="1" t="n"/>
      <c r="BS91" s="1" t="n"/>
      <c r="BT91" s="1" t="n"/>
      <c r="BU91" s="1" t="n"/>
      <c r="BV91" s="1" t="n"/>
      <c r="BW91" s="1" t="n"/>
      <c r="BX91" s="1" t="n"/>
      <c r="BY91" s="1" t="n"/>
      <c r="BZ91" s="1" t="n"/>
      <c r="CA91" s="1" t="n"/>
      <c r="CB91" s="1" t="n"/>
      <c r="CC91" s="1" t="n"/>
      <c r="CD91" s="1" t="n"/>
      <c r="CE91" s="1" t="n"/>
      <c r="CF91" s="1" t="n"/>
      <c r="CG91" s="1" t="n"/>
      <c r="CH91" s="1" t="n"/>
      <c r="CI91" s="1" t="n"/>
      <c r="CJ91" s="1" t="n"/>
      <c r="CK91" s="1" t="n"/>
      <c r="CL91" s="1" t="n"/>
      <c r="CM91" s="1" t="n"/>
      <c r="CN91" s="1" t="n"/>
      <c r="CO91" s="1" t="n"/>
      <c r="CP91" s="1" t="n"/>
      <c r="CQ91" s="1" t="n"/>
      <c r="CR91" s="1" t="n"/>
      <c r="CS91" s="1" t="n"/>
      <c r="CT91" s="1" t="n"/>
      <c r="CU91" s="1" t="n"/>
      <c r="CV91" s="1" t="n"/>
      <c r="CW91" s="1" t="n"/>
      <c r="CX91" s="1" t="n"/>
      <c r="CY91" s="1" t="n"/>
      <c r="CZ91" s="1" t="n"/>
      <c r="DA91" s="1" t="n"/>
      <c r="DB91" s="1" t="n"/>
      <c r="DC91" s="1" t="n"/>
      <c r="DD91" s="1" t="n"/>
      <c r="DE91" s="1" t="n"/>
      <c r="DF91" s="1" t="n"/>
      <c r="DG91" s="1" t="n"/>
      <c r="DH91" s="1" t="n"/>
      <c r="DI91" s="1" t="n"/>
      <c r="DJ91" s="1" t="n"/>
      <c r="DK91" s="1" t="n"/>
      <c r="DL91" s="1" t="n"/>
      <c r="DM91" s="1" t="n"/>
      <c r="DN91" s="1" t="n"/>
      <c r="DO91" s="1" t="n"/>
      <c r="DP91" s="1" t="n"/>
      <c r="DQ91" s="1" t="n"/>
      <c r="DR91" s="1" t="n"/>
      <c r="DS91" s="1" t="n"/>
      <c r="DT91" s="1" t="n"/>
      <c r="DU91" s="1" t="n"/>
      <c r="DV91" s="1" t="n"/>
      <c r="DW91" s="1" t="n"/>
      <c r="DX91" s="1" t="n"/>
      <c r="DY91" s="1" t="n"/>
      <c r="DZ91" s="1" t="n"/>
      <c r="EA91" s="1" t="n"/>
      <c r="EB91" s="1" t="n"/>
      <c r="EC91" s="1" t="n"/>
      <c r="ED91" s="1" t="n"/>
      <c r="EE91" s="1" t="n"/>
      <c r="EF91" s="1" t="n"/>
      <c r="EG91" s="1" t="n"/>
      <c r="EH91" s="1" t="n"/>
      <c r="EI91" s="1" t="n"/>
      <c r="EJ91" s="1" t="n"/>
      <c r="EK91" s="1" t="n"/>
      <c r="EL91" s="1" t="n"/>
      <c r="EM91" s="1" t="n"/>
      <c r="EN91" s="1" t="n"/>
      <c r="EO91" s="1" t="n"/>
      <c r="EP91" s="1" t="n"/>
      <c r="EQ91" s="1" t="n"/>
      <c r="ER91" s="1" t="n"/>
      <c r="ES91" s="1" t="n"/>
      <c r="ET91" s="1" t="n"/>
      <c r="EU91" s="1" t="n"/>
      <c r="EV91" s="1" t="n"/>
      <c r="EW91" s="1" t="n"/>
      <c r="EX91" s="1" t="n"/>
      <c r="EY91" s="1" t="n"/>
    </row>
    <row r="92" ht="63.75" customFormat="1" customHeight="1" s="52">
      <c r="A92" s="183" t="inlineStr">
        <is>
          <t>Temps TEC gestion du matériel de prêt, gestion des consommables, conditionnement renvoi - 1h30</t>
        </is>
      </c>
      <c r="B92" s="9" t="inlineStr">
        <is>
          <t>par matériel</t>
        </is>
      </c>
      <c r="C92" s="13" t="inlineStr">
        <is>
          <t>coût</t>
        </is>
      </c>
      <c r="D92" s="35" t="n">
        <v>86.25</v>
      </c>
      <c r="E92" s="9" t="n"/>
      <c r="F92" s="35">
        <f>D92*E92</f>
        <v/>
      </c>
      <c r="G92" s="127" t="inlineStr">
        <is>
          <t>Au prorata</t>
        </is>
      </c>
      <c r="H92" s="145" t="inlineStr">
        <is>
          <t xml:space="preserve">Temps TEC pour la gestion réception du matériel tablette pour questionnaire par exemple 
à maintenir car en pratique le matériel est envoyé et l' établissement doit lui-même le renvoyer (conditionnement et retour). les ARCs sponsor refusent de les récupérer lors du monitoring.
préciser le type de matériel en colonne A
</t>
        </is>
      </c>
    </row>
    <row r="93" ht="21.75" customFormat="1" customHeight="1" s="5">
      <c r="A93" s="222" t="inlineStr">
        <is>
          <t>Cout spécifique étude OGM / Car-T Cell</t>
        </is>
      </c>
      <c r="B93" s="195" t="n"/>
      <c r="C93" s="195" t="n"/>
      <c r="D93" s="195" t="n"/>
      <c r="E93" s="195" t="n"/>
      <c r="F93" s="196" t="n"/>
      <c r="G93" s="166" t="n"/>
      <c r="H93" s="139" t="n"/>
      <c r="I93" s="1" t="n"/>
      <c r="J93" s="1" t="n"/>
      <c r="K93" s="1" t="n"/>
      <c r="L93" s="1" t="n"/>
      <c r="M93" s="1" t="n"/>
      <c r="N93" s="1" t="n"/>
      <c r="O93" s="1" t="n"/>
      <c r="P93" s="1" t="n"/>
      <c r="Q93" s="1" t="n"/>
      <c r="R93" s="1" t="n"/>
      <c r="S93" s="1" t="n"/>
      <c r="T93" s="1" t="n"/>
      <c r="U93" s="1" t="n"/>
      <c r="V93" s="1" t="n"/>
      <c r="W93" s="1" t="n"/>
      <c r="X93" s="1" t="n"/>
      <c r="Y93" s="1" t="n"/>
      <c r="Z93" s="1" t="n"/>
      <c r="AA93" s="1" t="n"/>
      <c r="AB93" s="1" t="n"/>
      <c r="AC93" s="1" t="n"/>
      <c r="AD93" s="1" t="n"/>
      <c r="AE93" s="1" t="n"/>
      <c r="AF93" s="1" t="n"/>
      <c r="AG93" s="1" t="n"/>
      <c r="AH93" s="1" t="n"/>
      <c r="AI93" s="1" t="n"/>
      <c r="AJ93" s="1" t="n"/>
      <c r="AK93" s="1" t="n"/>
      <c r="AL93" s="1" t="n"/>
      <c r="AM93" s="1" t="n"/>
      <c r="AN93" s="1" t="n"/>
      <c r="AO93" s="1" t="n"/>
      <c r="AP93" s="1" t="n"/>
      <c r="AQ93" s="1" t="n"/>
      <c r="AR93" s="1" t="n"/>
      <c r="AS93" s="1" t="n"/>
      <c r="AT93" s="1" t="n"/>
      <c r="AU93" s="1" t="n"/>
      <c r="AV93" s="1" t="n"/>
      <c r="AW93" s="1" t="n"/>
      <c r="AX93" s="1" t="n"/>
      <c r="AY93" s="1" t="n"/>
      <c r="AZ93" s="1" t="n"/>
      <c r="BA93" s="1" t="n"/>
      <c r="BB93" s="1" t="n"/>
      <c r="BC93" s="1" t="n"/>
      <c r="BD93" s="1" t="n"/>
      <c r="BE93" s="1" t="n"/>
      <c r="BF93" s="1" t="n"/>
      <c r="BG93" s="1" t="n"/>
      <c r="BH93" s="1" t="n"/>
      <c r="BI93" s="1" t="n"/>
      <c r="BJ93" s="1" t="n"/>
      <c r="BK93" s="1" t="n"/>
      <c r="BL93" s="1" t="n"/>
      <c r="BM93" s="1" t="n"/>
      <c r="BN93" s="1" t="n"/>
      <c r="BO93" s="1" t="n"/>
      <c r="BP93" s="1" t="n"/>
      <c r="BQ93" s="1" t="n"/>
      <c r="BR93" s="1" t="n"/>
      <c r="BS93" s="1" t="n"/>
      <c r="BT93" s="1" t="n"/>
      <c r="BU93" s="1" t="n"/>
      <c r="BV93" s="1" t="n"/>
      <c r="BW93" s="1" t="n"/>
      <c r="BX93" s="1" t="n"/>
      <c r="BY93" s="1" t="n"/>
      <c r="BZ93" s="1" t="n"/>
      <c r="CA93" s="1" t="n"/>
      <c r="CB93" s="1" t="n"/>
      <c r="CC93" s="1" t="n"/>
      <c r="CD93" s="1" t="n"/>
      <c r="CE93" s="1" t="n"/>
      <c r="CF93" s="1" t="n"/>
      <c r="CG93" s="1" t="n"/>
      <c r="CH93" s="1" t="n"/>
      <c r="CI93" s="1" t="n"/>
      <c r="CJ93" s="1" t="n"/>
      <c r="CK93" s="1" t="n"/>
      <c r="CL93" s="1" t="n"/>
      <c r="CM93" s="1" t="n"/>
      <c r="CN93" s="1" t="n"/>
      <c r="CO93" s="1" t="n"/>
      <c r="CP93" s="1" t="n"/>
      <c r="CQ93" s="1" t="n"/>
      <c r="CR93" s="1" t="n"/>
      <c r="CS93" s="1" t="n"/>
      <c r="CT93" s="1" t="n"/>
      <c r="CU93" s="1" t="n"/>
      <c r="CV93" s="1" t="n"/>
      <c r="CW93" s="1" t="n"/>
      <c r="CX93" s="1" t="n"/>
      <c r="CY93" s="1" t="n"/>
      <c r="CZ93" s="1" t="n"/>
      <c r="DA93" s="1" t="n"/>
      <c r="DB93" s="1" t="n"/>
      <c r="DC93" s="1" t="n"/>
      <c r="DD93" s="1" t="n"/>
      <c r="DE93" s="1" t="n"/>
      <c r="DF93" s="1" t="n"/>
      <c r="DG93" s="1" t="n"/>
      <c r="DH93" s="1" t="n"/>
      <c r="DI93" s="1" t="n"/>
      <c r="DJ93" s="1" t="n"/>
      <c r="DK93" s="1" t="n"/>
      <c r="DL93" s="1" t="n"/>
      <c r="DM93" s="1" t="n"/>
      <c r="DN93" s="1" t="n"/>
      <c r="DO93" s="1" t="n"/>
      <c r="DP93" s="1" t="n"/>
      <c r="DQ93" s="1" t="n"/>
      <c r="DR93" s="1" t="n"/>
      <c r="DS93" s="1" t="n"/>
      <c r="DT93" s="1" t="n"/>
      <c r="DU93" s="1" t="n"/>
      <c r="DV93" s="1" t="n"/>
      <c r="DW93" s="1" t="n"/>
      <c r="DX93" s="1" t="n"/>
      <c r="DY93" s="1" t="n"/>
      <c r="DZ93" s="1" t="n"/>
      <c r="EA93" s="1" t="n"/>
      <c r="EB93" s="1" t="n"/>
      <c r="EC93" s="1" t="n"/>
      <c r="ED93" s="1" t="n"/>
      <c r="EE93" s="1" t="n"/>
      <c r="EF93" s="1" t="n"/>
      <c r="EG93" s="1" t="n"/>
      <c r="EH93" s="1" t="n"/>
      <c r="EI93" s="1" t="n"/>
      <c r="EJ93" s="1" t="n"/>
      <c r="EK93" s="1" t="n"/>
      <c r="EL93" s="1" t="n"/>
      <c r="EM93" s="1" t="n"/>
      <c r="EN93" s="1" t="n"/>
      <c r="EO93" s="1" t="n"/>
      <c r="EP93" s="1" t="n"/>
      <c r="EQ93" s="1" t="n"/>
      <c r="ER93" s="1" t="n"/>
      <c r="ES93" s="1" t="n"/>
      <c r="ET93" s="1" t="n"/>
      <c r="EU93" s="1" t="n"/>
      <c r="EV93" s="1" t="n"/>
      <c r="EW93" s="1" t="n"/>
      <c r="EX93" s="1" t="n"/>
      <c r="EY93" s="1" t="n"/>
    </row>
    <row r="94" ht="30" customFormat="1" customHeight="1" s="52">
      <c r="A94" s="96" t="inlineStr">
        <is>
          <t>Forfait hygiène habillage, décontamination nettoyage</t>
        </is>
      </c>
      <c r="B94" s="9" t="inlineStr">
        <is>
          <t>Par patient par administration</t>
        </is>
      </c>
      <c r="C94" s="9" t="inlineStr">
        <is>
          <t>surcoût</t>
        </is>
      </c>
      <c r="D94" s="35" t="n">
        <v>300</v>
      </c>
      <c r="E94" s="9" t="n"/>
      <c r="F94" s="35">
        <f>D94*E94</f>
        <v/>
      </c>
      <c r="G94" s="127" t="inlineStr">
        <is>
          <t>Au prorata</t>
        </is>
      </c>
      <c r="H94" s="139" t="inlineStr">
        <is>
          <t xml:space="preserve">Par exemple pour étude virus 
</t>
        </is>
      </c>
    </row>
    <row r="95" ht="30" customFormat="1" customHeight="1" s="52">
      <c r="A95" s="96" t="inlineStr">
        <is>
          <t>Forfait hospitalisation en cas d'OGM / Car-T Cell</t>
        </is>
      </c>
      <c r="B95" s="9" t="inlineStr">
        <is>
          <t xml:space="preserve">par patient et par journée hospitalisation </t>
        </is>
      </c>
      <c r="C95" s="9" t="inlineStr">
        <is>
          <t>surcoût</t>
        </is>
      </c>
      <c r="D95" s="35" t="n">
        <v>808.74</v>
      </c>
      <c r="E95" s="9" t="n"/>
      <c r="F95" s="35">
        <f>D95*E95</f>
        <v/>
      </c>
      <c r="G95" s="127" t="inlineStr">
        <is>
          <t>Au prorata</t>
        </is>
      </c>
      <c r="H95" s="225" t="n"/>
    </row>
    <row r="96" ht="30" customFormat="1" customHeight="1" s="52">
      <c r="A96" s="184" t="inlineStr">
        <is>
          <t xml:space="preserve">Temps TEC : Formation patient kit hygiène
1h </t>
        </is>
      </c>
      <c r="B96" s="9" t="inlineStr">
        <is>
          <t xml:space="preserve">par établissement </t>
        </is>
      </c>
      <c r="C96" s="13" t="inlineStr">
        <is>
          <t>coût</t>
        </is>
      </c>
      <c r="D96" s="35" t="n">
        <v>57.5</v>
      </c>
      <c r="E96" s="9" t="n"/>
      <c r="F96" s="35">
        <f>D96*E96</f>
        <v/>
      </c>
      <c r="G96" s="127" t="inlineStr">
        <is>
          <t>Au prorata</t>
        </is>
      </c>
      <c r="H96" s="139" t="inlineStr">
        <is>
          <t xml:space="preserve">Par exemple pour étude OGM (virus) </t>
        </is>
      </c>
    </row>
    <row r="97" ht="42" customFormat="1" customHeight="1" s="52">
      <c r="A97" s="183" t="inlineStr">
        <is>
          <t>Temps TEC en cas d'étude OGM - 
Identification OGM des tubes de prélèvement si non réalisé par le sponsor ou son prestataire- 1h par visite par patient</t>
        </is>
      </c>
      <c r="B97" s="33" t="inlineStr">
        <is>
          <t xml:space="preserve">Par patient par visite
</t>
        </is>
      </c>
      <c r="C97" s="13" t="inlineStr">
        <is>
          <t>coût</t>
        </is>
      </c>
      <c r="D97" s="35" t="n">
        <v>57.5</v>
      </c>
      <c r="E97" s="32" t="n"/>
      <c r="F97" s="35">
        <f>D97*E97</f>
        <v/>
      </c>
      <c r="G97" s="127" t="inlineStr">
        <is>
          <t>Au prorata</t>
        </is>
      </c>
      <c r="H97" s="138" t="inlineStr">
        <is>
          <t>Temps TEC à appliquer dans le cas ou le promoteur ou son prestataire n'aurait pas identifié les tubes de prélèvement comme OGM (étiquette spécifique)</t>
        </is>
      </c>
    </row>
    <row r="98" ht="25.5" customFormat="1" customHeight="1" s="5">
      <c r="A98" s="222" t="inlineStr">
        <is>
          <t xml:space="preserve">Réanimation </t>
        </is>
      </c>
      <c r="B98" s="195" t="n"/>
      <c r="C98" s="195" t="n"/>
      <c r="D98" s="195" t="n"/>
      <c r="E98" s="195" t="n"/>
      <c r="F98" s="196" t="n"/>
      <c r="G98" s="166" t="n"/>
      <c r="H98" s="146" t="n"/>
      <c r="I98" s="1" t="n"/>
      <c r="J98" s="1" t="n"/>
      <c r="K98" s="1" t="n"/>
      <c r="L98" s="1" t="n"/>
      <c r="M98" s="1" t="n"/>
      <c r="N98" s="1" t="n"/>
      <c r="O98" s="1" t="n"/>
      <c r="P98" s="1" t="n"/>
      <c r="Q98" s="1" t="n"/>
      <c r="R98" s="1" t="n"/>
      <c r="S98" s="1" t="n"/>
      <c r="T98" s="1" t="n"/>
      <c r="U98" s="1" t="n"/>
      <c r="V98" s="1" t="n"/>
      <c r="W98" s="1" t="n"/>
      <c r="X98" s="1" t="n"/>
      <c r="Y98" s="1" t="n"/>
      <c r="Z98" s="1" t="n"/>
      <c r="AA98" s="1" t="n"/>
      <c r="AB98" s="1" t="n"/>
      <c r="AC98" s="1" t="n"/>
      <c r="AD98" s="1" t="n"/>
      <c r="AE98" s="1" t="n"/>
      <c r="AF98" s="1" t="n"/>
      <c r="AG98" s="1" t="n"/>
      <c r="AH98" s="1" t="n"/>
      <c r="AI98" s="1" t="n"/>
      <c r="AJ98" s="1" t="n"/>
      <c r="AK98" s="1" t="n"/>
      <c r="AL98" s="1" t="n"/>
      <c r="AM98" s="1" t="n"/>
      <c r="AN98" s="1" t="n"/>
      <c r="AO98" s="1" t="n"/>
      <c r="AP98" s="1" t="n"/>
      <c r="AQ98" s="1" t="n"/>
      <c r="AR98" s="1" t="n"/>
      <c r="AS98" s="1" t="n"/>
      <c r="AT98" s="1" t="n"/>
      <c r="AU98" s="1" t="n"/>
      <c r="AV98" s="1" t="n"/>
      <c r="AW98" s="1" t="n"/>
      <c r="AX98" s="1" t="n"/>
      <c r="AY98" s="1" t="n"/>
      <c r="AZ98" s="1" t="n"/>
      <c r="BA98" s="1" t="n"/>
      <c r="BB98" s="1" t="n"/>
      <c r="BC98" s="1" t="n"/>
      <c r="BD98" s="1" t="n"/>
      <c r="BE98" s="1" t="n"/>
      <c r="BF98" s="1" t="n"/>
      <c r="BG98" s="1" t="n"/>
      <c r="BH98" s="1" t="n"/>
      <c r="BI98" s="1" t="n"/>
      <c r="BJ98" s="1" t="n"/>
      <c r="BK98" s="1" t="n"/>
      <c r="BL98" s="1" t="n"/>
      <c r="BM98" s="1" t="n"/>
      <c r="BN98" s="1" t="n"/>
      <c r="BO98" s="1" t="n"/>
      <c r="BP98" s="1" t="n"/>
      <c r="BQ98" s="1" t="n"/>
      <c r="BR98" s="1" t="n"/>
      <c r="BS98" s="1" t="n"/>
      <c r="BT98" s="1" t="n"/>
      <c r="BU98" s="1" t="n"/>
      <c r="BV98" s="1" t="n"/>
      <c r="BW98" s="1" t="n"/>
      <c r="BX98" s="1" t="n"/>
      <c r="BY98" s="1" t="n"/>
      <c r="BZ98" s="1" t="n"/>
      <c r="CA98" s="1" t="n"/>
      <c r="CB98" s="1" t="n"/>
      <c r="CC98" s="1" t="n"/>
      <c r="CD98" s="1" t="n"/>
      <c r="CE98" s="1" t="n"/>
      <c r="CF98" s="1" t="n"/>
      <c r="CG98" s="1" t="n"/>
      <c r="CH98" s="1" t="n"/>
      <c r="CI98" s="1" t="n"/>
      <c r="CJ98" s="1" t="n"/>
      <c r="CK98" s="1" t="n"/>
      <c r="CL98" s="1" t="n"/>
      <c r="CM98" s="1" t="n"/>
      <c r="CN98" s="1" t="n"/>
      <c r="CO98" s="1" t="n"/>
      <c r="CP98" s="1" t="n"/>
      <c r="CQ98" s="1" t="n"/>
      <c r="CR98" s="1" t="n"/>
      <c r="CS98" s="1" t="n"/>
      <c r="CT98" s="1" t="n"/>
      <c r="CU98" s="1" t="n"/>
      <c r="CV98" s="1" t="n"/>
      <c r="CW98" s="1" t="n"/>
      <c r="CX98" s="1" t="n"/>
      <c r="CY98" s="1" t="n"/>
      <c r="CZ98" s="1" t="n"/>
      <c r="DA98" s="1" t="n"/>
      <c r="DB98" s="1" t="n"/>
      <c r="DC98" s="1" t="n"/>
      <c r="DD98" s="1" t="n"/>
      <c r="DE98" s="1" t="n"/>
      <c r="DF98" s="1" t="n"/>
      <c r="DG98" s="1" t="n"/>
      <c r="DH98" s="1" t="n"/>
      <c r="DI98" s="1" t="n"/>
      <c r="DJ98" s="1" t="n"/>
      <c r="DK98" s="1" t="n"/>
      <c r="DL98" s="1" t="n"/>
      <c r="DM98" s="1" t="n"/>
      <c r="DN98" s="1" t="n"/>
      <c r="DO98" s="1" t="n"/>
      <c r="DP98" s="1" t="n"/>
      <c r="DQ98" s="1" t="n"/>
      <c r="DR98" s="1" t="n"/>
      <c r="DS98" s="1" t="n"/>
      <c r="DT98" s="1" t="n"/>
      <c r="DU98" s="1" t="n"/>
      <c r="DV98" s="1" t="n"/>
      <c r="DW98" s="1" t="n"/>
      <c r="DX98" s="1" t="n"/>
      <c r="DY98" s="1" t="n"/>
      <c r="DZ98" s="1" t="n"/>
      <c r="EA98" s="1" t="n"/>
      <c r="EB98" s="1" t="n"/>
      <c r="EC98" s="1" t="n"/>
      <c r="ED98" s="1" t="n"/>
      <c r="EE98" s="1" t="n"/>
      <c r="EF98" s="1" t="n"/>
      <c r="EG98" s="1" t="n"/>
      <c r="EH98" s="1" t="n"/>
      <c r="EI98" s="1" t="n"/>
      <c r="EJ98" s="1" t="n"/>
      <c r="EK98" s="1" t="n"/>
      <c r="EL98" s="1" t="n"/>
      <c r="EM98" s="1" t="n"/>
      <c r="EN98" s="1" t="n"/>
      <c r="EO98" s="1" t="n"/>
      <c r="EP98" s="1" t="n"/>
      <c r="EQ98" s="1" t="n"/>
      <c r="ER98" s="1" t="n"/>
      <c r="ES98" s="1" t="n"/>
      <c r="ET98" s="1" t="n"/>
      <c r="EU98" s="1" t="n"/>
      <c r="EV98" s="1" t="n"/>
      <c r="EW98" s="1" t="n"/>
      <c r="EX98" s="1" t="n"/>
      <c r="EY98" s="1" t="n"/>
    </row>
    <row r="99" ht="73.5" customFormat="1" customHeight="1" s="5">
      <c r="A99" s="184" t="inlineStr">
        <is>
          <t>Forfait service de réanimation : formation au protocole - mise en place d'un circuit de surveillance 
(si applicable)</t>
        </is>
      </c>
      <c r="B99" s="9" t="inlineStr">
        <is>
          <t xml:space="preserve">par établissement </t>
        </is>
      </c>
      <c r="C99" s="13" t="inlineStr">
        <is>
          <t>coût</t>
        </is>
      </c>
      <c r="D99" s="35" t="n">
        <v>300</v>
      </c>
      <c r="E99" s="9" t="n"/>
      <c r="F99" s="9" t="n"/>
      <c r="G99" s="122" t="n"/>
      <c r="H99" s="135" t="inlineStr">
        <is>
          <t xml:space="preserve">Si requis dans les spécificités du protocole ou selon les spécificités dues au protocole : essai à risque : essai FIH , risque de CRS etc… </t>
        </is>
      </c>
      <c r="I99" s="1" t="n"/>
      <c r="J99" s="1" t="n"/>
      <c r="K99" s="1" t="n"/>
      <c r="L99" s="1" t="n"/>
      <c r="M99" s="1" t="n"/>
      <c r="N99" s="1" t="n"/>
      <c r="O99" s="1" t="n"/>
      <c r="P99" s="1" t="n"/>
      <c r="Q99" s="1" t="n"/>
      <c r="R99" s="1" t="n"/>
      <c r="S99" s="1" t="n"/>
      <c r="T99" s="1" t="n"/>
      <c r="U99" s="1" t="n"/>
      <c r="V99" s="1" t="n"/>
      <c r="W99" s="1" t="n"/>
      <c r="X99" s="1" t="n"/>
      <c r="Y99" s="1" t="n"/>
      <c r="Z99" s="1" t="n"/>
      <c r="AA99" s="1" t="n"/>
      <c r="AB99" s="1" t="n"/>
      <c r="AC99" s="1" t="n"/>
      <c r="AD99" s="1" t="n"/>
      <c r="AE99" s="1" t="n"/>
      <c r="AF99" s="1" t="n"/>
      <c r="AG99" s="1" t="n"/>
      <c r="AH99" s="1" t="n"/>
      <c r="AI99" s="1" t="n"/>
      <c r="AJ99" s="1" t="n"/>
      <c r="AK99" s="1" t="n"/>
      <c r="AL99" s="1" t="n"/>
      <c r="AM99" s="1" t="n"/>
      <c r="AN99" s="1" t="n"/>
      <c r="AO99" s="1" t="n"/>
      <c r="AP99" s="1" t="n"/>
      <c r="AQ99" s="1" t="n"/>
      <c r="AR99" s="1" t="n"/>
      <c r="AS99" s="1" t="n"/>
      <c r="AT99" s="1" t="n"/>
      <c r="AU99" s="1" t="n"/>
      <c r="AV99" s="1" t="n"/>
      <c r="AW99" s="1" t="n"/>
      <c r="AX99" s="1" t="n"/>
      <c r="AY99" s="1" t="n"/>
      <c r="AZ99" s="1" t="n"/>
      <c r="BA99" s="1" t="n"/>
      <c r="BB99" s="1" t="n"/>
      <c r="BC99" s="1" t="n"/>
      <c r="BD99" s="1" t="n"/>
      <c r="BE99" s="1" t="n"/>
      <c r="BF99" s="1" t="n"/>
      <c r="BG99" s="1" t="n"/>
      <c r="BH99" s="1" t="n"/>
      <c r="BI99" s="1" t="n"/>
      <c r="BJ99" s="1" t="n"/>
      <c r="BK99" s="1" t="n"/>
      <c r="BL99" s="1" t="n"/>
      <c r="BM99" s="1" t="n"/>
      <c r="BN99" s="1" t="n"/>
      <c r="BO99" s="1" t="n"/>
      <c r="BP99" s="1" t="n"/>
      <c r="BQ99" s="1" t="n"/>
      <c r="BR99" s="1" t="n"/>
      <c r="BS99" s="1" t="n"/>
      <c r="BT99" s="1" t="n"/>
      <c r="BU99" s="1" t="n"/>
      <c r="BV99" s="1" t="n"/>
      <c r="BW99" s="1" t="n"/>
      <c r="BX99" s="1" t="n"/>
      <c r="BY99" s="1" t="n"/>
      <c r="BZ99" s="1" t="n"/>
      <c r="CA99" s="1" t="n"/>
      <c r="CB99" s="1" t="n"/>
      <c r="CC99" s="1" t="n"/>
      <c r="CD99" s="1" t="n"/>
      <c r="CE99" s="1" t="n"/>
      <c r="CF99" s="1" t="n"/>
      <c r="CG99" s="1" t="n"/>
      <c r="CH99" s="1" t="n"/>
      <c r="CI99" s="1" t="n"/>
      <c r="CJ99" s="1" t="n"/>
      <c r="CK99" s="1" t="n"/>
      <c r="CL99" s="1" t="n"/>
      <c r="CM99" s="1" t="n"/>
      <c r="CN99" s="1" t="n"/>
      <c r="CO99" s="1" t="n"/>
      <c r="CP99" s="1" t="n"/>
      <c r="CQ99" s="1" t="n"/>
      <c r="CR99" s="1" t="n"/>
      <c r="CS99" s="1" t="n"/>
      <c r="CT99" s="1" t="n"/>
      <c r="CU99" s="1" t="n"/>
      <c r="CV99" s="1" t="n"/>
      <c r="CW99" s="1" t="n"/>
      <c r="CX99" s="1" t="n"/>
      <c r="CY99" s="1" t="n"/>
      <c r="CZ99" s="1" t="n"/>
      <c r="DA99" s="1" t="n"/>
      <c r="DB99" s="1" t="n"/>
      <c r="DC99" s="1" t="n"/>
      <c r="DD99" s="1" t="n"/>
      <c r="DE99" s="1" t="n"/>
      <c r="DF99" s="1" t="n"/>
      <c r="DG99" s="1" t="n"/>
      <c r="DH99" s="1" t="n"/>
      <c r="DI99" s="1" t="n"/>
      <c r="DJ99" s="1" t="n"/>
      <c r="DK99" s="1" t="n"/>
      <c r="DL99" s="1" t="n"/>
      <c r="DM99" s="1" t="n"/>
      <c r="DN99" s="1" t="n"/>
      <c r="DO99" s="1" t="n"/>
      <c r="DP99" s="1" t="n"/>
      <c r="DQ99" s="1" t="n"/>
      <c r="DR99" s="1" t="n"/>
      <c r="DS99" s="1" t="n"/>
      <c r="DT99" s="1" t="n"/>
      <c r="DU99" s="1" t="n"/>
      <c r="DV99" s="1" t="n"/>
      <c r="DW99" s="1" t="n"/>
      <c r="DX99" s="1" t="n"/>
      <c r="DY99" s="1" t="n"/>
      <c r="DZ99" s="1" t="n"/>
      <c r="EA99" s="1" t="n"/>
      <c r="EB99" s="1" t="n"/>
      <c r="EC99" s="1" t="n"/>
      <c r="ED99" s="1" t="n"/>
      <c r="EE99" s="1" t="n"/>
      <c r="EF99" s="1" t="n"/>
      <c r="EG99" s="1" t="n"/>
      <c r="EH99" s="1" t="n"/>
      <c r="EI99" s="1" t="n"/>
      <c r="EJ99" s="1" t="n"/>
      <c r="EK99" s="1" t="n"/>
      <c r="EL99" s="1" t="n"/>
      <c r="EM99" s="1" t="n"/>
      <c r="EN99" s="1" t="n"/>
      <c r="EO99" s="1" t="n"/>
      <c r="EP99" s="1" t="n"/>
      <c r="EQ99" s="1" t="n"/>
      <c r="ER99" s="1" t="n"/>
      <c r="ES99" s="1" t="n"/>
      <c r="ET99" s="1" t="n"/>
      <c r="EU99" s="1" t="n"/>
      <c r="EV99" s="1" t="n"/>
      <c r="EW99" s="1" t="n"/>
      <c r="EX99" s="1" t="n"/>
      <c r="EY99" s="1" t="n"/>
    </row>
    <row r="100" ht="24" customFormat="1" customHeight="1" s="5">
      <c r="A100" s="222" t="inlineStr">
        <is>
          <t>Autres</t>
        </is>
      </c>
      <c r="B100" s="195" t="n"/>
      <c r="C100" s="195" t="n"/>
      <c r="D100" s="195" t="n"/>
      <c r="E100" s="195" t="n"/>
      <c r="F100" s="196" t="n"/>
      <c r="G100" s="166" t="n"/>
      <c r="H100" s="147"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c r="AC100" s="1" t="n"/>
      <c r="AD100" s="1" t="n"/>
      <c r="AE100" s="1" t="n"/>
      <c r="AF100" s="1" t="n"/>
      <c r="AG100" s="1" t="n"/>
      <c r="AH100" s="1" t="n"/>
      <c r="AI100" s="1" t="n"/>
      <c r="AJ100" s="1" t="n"/>
      <c r="AK100" s="1" t="n"/>
      <c r="AL100" s="1" t="n"/>
      <c r="AM100" s="1" t="n"/>
      <c r="AN100" s="1" t="n"/>
      <c r="AO100" s="1" t="n"/>
      <c r="AP100" s="1" t="n"/>
      <c r="AQ100" s="1" t="n"/>
      <c r="AR100" s="1" t="n"/>
      <c r="AS100" s="1" t="n"/>
      <c r="AT100" s="1" t="n"/>
      <c r="AU100" s="1" t="n"/>
      <c r="AV100" s="1" t="n"/>
      <c r="AW100" s="1" t="n"/>
      <c r="AX100" s="1" t="n"/>
      <c r="AY100" s="1" t="n"/>
      <c r="AZ100" s="1" t="n"/>
      <c r="BA100" s="1" t="n"/>
      <c r="BB100" s="1" t="n"/>
      <c r="BC100" s="1" t="n"/>
      <c r="BD100" s="1" t="n"/>
      <c r="BE100" s="1" t="n"/>
      <c r="BF100" s="1" t="n"/>
      <c r="BG100" s="1" t="n"/>
      <c r="BH100" s="1" t="n"/>
      <c r="BI100" s="1" t="n"/>
      <c r="BJ100" s="1" t="n"/>
      <c r="BK100" s="1" t="n"/>
      <c r="BL100" s="1" t="n"/>
      <c r="BM100" s="1" t="n"/>
      <c r="BN100" s="1" t="n"/>
      <c r="BO100" s="1" t="n"/>
      <c r="BP100" s="1" t="n"/>
      <c r="BQ100" s="1" t="n"/>
      <c r="BR100" s="1" t="n"/>
      <c r="BS100" s="1" t="n"/>
      <c r="BT100" s="1" t="n"/>
      <c r="BU100" s="1" t="n"/>
      <c r="BV100" s="1" t="n"/>
      <c r="BW100" s="1" t="n"/>
      <c r="BX100" s="1" t="n"/>
      <c r="BY100" s="1" t="n"/>
      <c r="BZ100" s="1" t="n"/>
      <c r="CA100" s="1" t="n"/>
      <c r="CB100" s="1" t="n"/>
      <c r="CC100" s="1" t="n"/>
      <c r="CD100" s="1" t="n"/>
      <c r="CE100" s="1" t="n"/>
      <c r="CF100" s="1" t="n"/>
      <c r="CG100" s="1" t="n"/>
      <c r="CH100" s="1" t="n"/>
      <c r="CI100" s="1" t="n"/>
      <c r="CJ100" s="1" t="n"/>
      <c r="CK100" s="1" t="n"/>
      <c r="CL100" s="1" t="n"/>
      <c r="CM100" s="1" t="n"/>
      <c r="CN100" s="1" t="n"/>
      <c r="CO100" s="1" t="n"/>
      <c r="CP100" s="1" t="n"/>
      <c r="CQ100" s="1" t="n"/>
      <c r="CR100" s="1" t="n"/>
      <c r="CS100" s="1" t="n"/>
      <c r="CT100" s="1" t="n"/>
      <c r="CU100" s="1" t="n"/>
      <c r="CV100" s="1" t="n"/>
      <c r="CW100" s="1" t="n"/>
      <c r="CX100" s="1" t="n"/>
      <c r="CY100" s="1" t="n"/>
      <c r="CZ100" s="1" t="n"/>
      <c r="DA100" s="1" t="n"/>
      <c r="DB100" s="1" t="n"/>
      <c r="DC100" s="1" t="n"/>
      <c r="DD100" s="1" t="n"/>
      <c r="DE100" s="1" t="n"/>
      <c r="DF100" s="1" t="n"/>
      <c r="DG100" s="1" t="n"/>
      <c r="DH100" s="1" t="n"/>
      <c r="DI100" s="1" t="n"/>
      <c r="DJ100" s="1" t="n"/>
      <c r="DK100" s="1" t="n"/>
      <c r="DL100" s="1" t="n"/>
      <c r="DM100" s="1" t="n"/>
      <c r="DN100" s="1" t="n"/>
      <c r="DO100" s="1" t="n"/>
      <c r="DP100" s="1" t="n"/>
      <c r="DQ100" s="1" t="n"/>
      <c r="DR100" s="1" t="n"/>
      <c r="DS100" s="1" t="n"/>
      <c r="DT100" s="1" t="n"/>
      <c r="DU100" s="1" t="n"/>
      <c r="DV100" s="1" t="n"/>
      <c r="DW100" s="1" t="n"/>
      <c r="DX100" s="1" t="n"/>
      <c r="DY100" s="1" t="n"/>
      <c r="DZ100" s="1" t="n"/>
      <c r="EA100" s="1" t="n"/>
      <c r="EB100" s="1" t="n"/>
      <c r="EC100" s="1" t="n"/>
      <c r="ED100" s="1" t="n"/>
      <c r="EE100" s="1" t="n"/>
      <c r="EF100" s="1" t="n"/>
      <c r="EG100" s="1" t="n"/>
      <c r="EH100" s="1" t="n"/>
      <c r="EI100" s="1" t="n"/>
      <c r="EJ100" s="1" t="n"/>
      <c r="EK100" s="1" t="n"/>
      <c r="EL100" s="1" t="n"/>
      <c r="EM100" s="1" t="n"/>
      <c r="EN100" s="1" t="n"/>
      <c r="EO100" s="1" t="n"/>
      <c r="EP100" s="1" t="n"/>
      <c r="EQ100" s="1" t="n"/>
      <c r="ER100" s="1" t="n"/>
      <c r="ES100" s="1" t="n"/>
      <c r="ET100" s="1" t="n"/>
      <c r="EU100" s="1" t="n"/>
      <c r="EV100" s="1" t="n"/>
      <c r="EW100" s="1" t="n"/>
      <c r="EX100" s="1" t="n"/>
      <c r="EY100" s="1" t="n"/>
    </row>
    <row r="101" ht="53.25" customFormat="1" customHeight="1" s="10">
      <c r="A101" s="184" t="inlineStr">
        <is>
          <t>Forfait clôture de la recherche
Niveau 1 : 30 min de temps médical + 2h de temps TEC
Niveau 2 : 30 min de temps médical + 3h de temps TEC
Niveau 3 : 1h de temps médical + 3h de temps TEC.</t>
        </is>
      </c>
      <c r="B101" s="9" t="inlineStr">
        <is>
          <t>Forfait par recherche</t>
        </is>
      </c>
      <c r="C101" s="9" t="inlineStr">
        <is>
          <t>coût</t>
        </is>
      </c>
      <c r="D101" s="71" t="inlineStr">
        <is>
          <t>niveau 1 : 173,2 €
niveau 2 : 230,7 €
niveau 3 : 288,9 €</t>
        </is>
      </c>
      <c r="E101" s="32" t="n"/>
      <c r="F101" s="25">
        <f>IFERROR(D101*E101, 0)</f>
        <v/>
      </c>
      <c r="G101" s="122" t="n"/>
      <c r="H101" s="139" t="inlineStr">
        <is>
          <t>Forfait clôture de la recherche : 
30 min de temps médical + 2h de temps TEC en cas d'une recherche de niveau 1
30 min de temps médical + 3h de temps TEC en cas d'une recherche de niveau 2
1h de temps médical + 3h de temps TEC en cas d'une recherche de niveau 3</t>
        </is>
      </c>
    </row>
    <row r="102" ht="63.75" customFormat="1" customHeight="1" s="2">
      <c r="A102" s="63" t="inlineStr">
        <is>
          <t>Réactifs et consommables : imposé par le protocole. Hors analyses de routine. Facture ou forfait global/par visite.</t>
        </is>
      </c>
      <c r="B102" s="9" t="inlineStr">
        <is>
          <t>Par ligne</t>
        </is>
      </c>
      <c r="C102" s="13" t="inlineStr">
        <is>
          <t>coût</t>
        </is>
      </c>
      <c r="D102" s="35" t="inlineStr">
        <is>
          <t xml:space="preserve">frais réel </t>
        </is>
      </c>
      <c r="E102" s="13" t="n"/>
      <c r="F102" s="25">
        <f>IFERROR(D102*E102, 0)</f>
        <v/>
      </c>
      <c r="G102" s="122" t="n"/>
      <c r="H102" s="139" t="inlineStr">
        <is>
          <t xml:space="preserve">Tous les achats de réactifs, consommables non pris en compte dans les lignes de la matrice doivent être répertoriés et mis en facturation sur cette ligne, à la demande du promoteur (incluant la discordance entre le conditionnement du réactif et le nombre d'inclusion sur une période donnée). Le forfait de frais de gestion de 15€/commande est applicable. Evaluer un forfait global par visite ou pour l’étude.
Sans être exhaustif, donner des exemples illustratifs dans le MO. </t>
        </is>
      </c>
      <c r="I102" s="10" t="n"/>
      <c r="J102" s="10" t="n"/>
      <c r="K102" s="10" t="n"/>
      <c r="L102" s="10" t="n"/>
      <c r="M102" s="10" t="n"/>
      <c r="N102" s="10" t="n"/>
      <c r="O102" s="10" t="n"/>
      <c r="P102" s="10" t="n"/>
      <c r="Q102" s="10" t="n"/>
      <c r="R102" s="10" t="n"/>
      <c r="S102" s="10" t="n"/>
      <c r="T102" s="10" t="n"/>
      <c r="U102" s="10" t="n"/>
      <c r="V102" s="10" t="n"/>
      <c r="W102" s="10" t="n"/>
      <c r="X102" s="10" t="n"/>
      <c r="Y102" s="10" t="n"/>
      <c r="Z102" s="10" t="n"/>
      <c r="AA102" s="10" t="n"/>
      <c r="AB102" s="10" t="n"/>
      <c r="AC102" s="10" t="n"/>
      <c r="AD102" s="10" t="n"/>
      <c r="AE102" s="10" t="n"/>
      <c r="AF102" s="10" t="n"/>
      <c r="AG102" s="10" t="n"/>
      <c r="AH102" s="10" t="n"/>
      <c r="AI102" s="10" t="n"/>
      <c r="AJ102" s="10" t="n"/>
      <c r="AK102" s="10" t="n"/>
      <c r="AL102" s="10" t="n"/>
      <c r="AM102" s="10" t="n"/>
      <c r="AN102" s="10" t="n"/>
      <c r="AO102" s="10" t="n"/>
      <c r="AP102" s="10" t="n"/>
      <c r="AQ102" s="10" t="n"/>
      <c r="AR102" s="10" t="n"/>
      <c r="AS102" s="10" t="n"/>
      <c r="AT102" s="10" t="n"/>
      <c r="AU102" s="10" t="n"/>
      <c r="AV102" s="10" t="n"/>
      <c r="AW102" s="10" t="n"/>
      <c r="AX102" s="10" t="n"/>
      <c r="AY102" s="10" t="n"/>
      <c r="AZ102" s="10" t="n"/>
      <c r="BA102" s="10" t="n"/>
      <c r="BB102" s="10" t="n"/>
      <c r="BC102" s="10" t="n"/>
      <c r="BD102" s="10" t="n"/>
      <c r="BE102" s="10" t="n"/>
      <c r="BF102" s="10" t="n"/>
      <c r="BG102" s="10" t="n"/>
      <c r="BH102" s="10" t="n"/>
      <c r="BI102" s="10" t="n"/>
      <c r="BJ102" s="10" t="n"/>
      <c r="BK102" s="10" t="n"/>
      <c r="BL102" s="10" t="n"/>
      <c r="BM102" s="10" t="n"/>
      <c r="BN102" s="10" t="n"/>
      <c r="BO102" s="10" t="n"/>
      <c r="BP102" s="10" t="n"/>
      <c r="BQ102" s="10" t="n"/>
      <c r="BR102" s="10" t="n"/>
      <c r="BS102" s="10" t="n"/>
      <c r="BT102" s="10" t="n"/>
      <c r="BU102" s="10" t="n"/>
      <c r="BV102" s="10" t="n"/>
      <c r="BW102" s="10" t="n"/>
      <c r="BX102" s="10" t="n"/>
      <c r="BY102" s="10" t="n"/>
      <c r="BZ102" s="10" t="n"/>
      <c r="CA102" s="10" t="n"/>
      <c r="CB102" s="10" t="n"/>
      <c r="CC102" s="10" t="n"/>
      <c r="CD102" s="10" t="n"/>
      <c r="CE102" s="10" t="n"/>
      <c r="CF102" s="10" t="n"/>
      <c r="CG102" s="10" t="n"/>
      <c r="CH102" s="10" t="n"/>
      <c r="CI102" s="10" t="n"/>
      <c r="CJ102" s="10" t="n"/>
      <c r="CK102" s="10" t="n"/>
      <c r="CL102" s="10" t="n"/>
      <c r="CM102" s="10" t="n"/>
      <c r="CN102" s="10" t="n"/>
      <c r="CO102" s="10" t="n"/>
      <c r="CP102" s="10" t="n"/>
      <c r="CQ102" s="10" t="n"/>
      <c r="CR102" s="10" t="n"/>
      <c r="CS102" s="10" t="n"/>
      <c r="CT102" s="10" t="n"/>
      <c r="CU102" s="10" t="n"/>
      <c r="CV102" s="10" t="n"/>
      <c r="CW102" s="10" t="n"/>
      <c r="CX102" s="10" t="n"/>
      <c r="CY102" s="10" t="n"/>
      <c r="CZ102" s="10" t="n"/>
      <c r="DA102" s="10" t="n"/>
      <c r="DB102" s="10" t="n"/>
      <c r="DC102" s="10" t="n"/>
      <c r="DD102" s="10" t="n"/>
      <c r="DE102" s="10" t="n"/>
      <c r="DF102" s="10" t="n"/>
      <c r="DG102" s="10" t="n"/>
      <c r="DH102" s="10" t="n"/>
      <c r="DI102" s="10" t="n"/>
      <c r="DJ102" s="10" t="n"/>
      <c r="DK102" s="10" t="n"/>
      <c r="DL102" s="10" t="n"/>
      <c r="DM102" s="10" t="n"/>
      <c r="DN102" s="10" t="n"/>
      <c r="DO102" s="10" t="n"/>
      <c r="DP102" s="10" t="n"/>
      <c r="DQ102" s="10" t="n"/>
      <c r="DR102" s="10" t="n"/>
      <c r="DS102" s="10" t="n"/>
      <c r="DT102" s="10" t="n"/>
      <c r="DU102" s="10" t="n"/>
      <c r="DV102" s="10" t="n"/>
      <c r="DW102" s="10" t="n"/>
      <c r="DX102" s="10" t="n"/>
      <c r="DY102" s="10" t="n"/>
      <c r="DZ102" s="10" t="n"/>
      <c r="EA102" s="10" t="n"/>
      <c r="EB102" s="10" t="n"/>
      <c r="EC102" s="10" t="n"/>
      <c r="ED102" s="10" t="n"/>
      <c r="EE102" s="10" t="n"/>
      <c r="EF102" s="10" t="n"/>
      <c r="EG102" s="10" t="n"/>
      <c r="EH102" s="10" t="n"/>
      <c r="EI102" s="10" t="n"/>
      <c r="EJ102" s="10" t="n"/>
      <c r="EK102" s="10" t="n"/>
      <c r="EL102" s="10" t="n"/>
      <c r="EM102" s="10" t="n"/>
      <c r="EN102" s="10" t="n"/>
      <c r="EO102" s="10" t="n"/>
      <c r="EP102" s="10" t="n"/>
      <c r="EQ102" s="10" t="n"/>
      <c r="ER102" s="10" t="n"/>
      <c r="ES102" s="10" t="n"/>
      <c r="ET102" s="10" t="n"/>
      <c r="EU102" s="10" t="n"/>
      <c r="EV102" s="10" t="n"/>
      <c r="EW102" s="10" t="n"/>
      <c r="EX102" s="10" t="n"/>
      <c r="EY102" s="10" t="n"/>
    </row>
    <row r="103" ht="28.5" customFormat="1" customHeight="1" s="10">
      <c r="A103" s="226" t="inlineStr">
        <is>
          <t>BIOLOGIE - ANATOMO-PATHOLOGIE</t>
        </is>
      </c>
      <c r="B103" s="195" t="n"/>
      <c r="C103" s="195" t="n"/>
      <c r="D103" s="195" t="n"/>
      <c r="E103" s="195" t="n"/>
      <c r="F103" s="196" t="n"/>
      <c r="G103" s="128" t="n"/>
      <c r="H103" s="148" t="n"/>
    </row>
    <row r="104" ht="78.75" customFormat="1" customHeight="1" s="10">
      <c r="A104" s="183" t="inlineStr">
        <is>
          <t>Temps coordination biologie/pathologie recherche
Contribution à : sélection, vérification de la matrice coordonnateur : information, mise en place de flag, modifications des pratiques, résultats, etc. Formation au manuel de labo.
1h30 /centre coordinateur ou associé</t>
        </is>
      </c>
      <c r="B104" s="9" t="inlineStr">
        <is>
          <t>Par centre</t>
        </is>
      </c>
      <c r="C104" s="11" t="inlineStr">
        <is>
          <t>coût</t>
        </is>
      </c>
      <c r="D104" s="35" t="n">
        <v>86.25</v>
      </c>
      <c r="E104" s="13" t="n"/>
      <c r="F104" s="23">
        <f>D104*E104</f>
        <v/>
      </c>
      <c r="G104" s="117">
        <f>F104</f>
        <v/>
      </c>
      <c r="H104" s="139" t="inlineStr">
        <is>
          <t>Cette ligne correspond à l'évaluation par la Biologie de l'impact d'un protocole sur ses activités, et de la faisabilité de son intervention en adaptant les circuits, la documentation, les process. Ligne applicable dès lors qu'un pôle de biologie est sollicité pour des activités d'analyses en local et/ou de prise en charge d'échantillons pour un laboratoire centralisé (non applicable pour les services cliniques).</t>
        </is>
      </c>
    </row>
    <row r="105" ht="66" customFormat="1" customHeight="1" s="10">
      <c r="A105" s="183" t="inlineStr">
        <is>
          <t>Temps biologie/pathologie recherche
Transmission des documents (CV, VR, CQ, si cryoconservation : CT (courbes de Températures), CS (calibration sondes), CM (Contrôles Métrologies et de Maintenance).
1h30 (si nécessité du protocole).</t>
        </is>
      </c>
      <c r="B105" s="9" t="inlineStr">
        <is>
          <t>Par centre</t>
        </is>
      </c>
      <c r="C105" s="11" t="inlineStr">
        <is>
          <t>coût</t>
        </is>
      </c>
      <c r="D105" s="35" t="n">
        <v>86.25</v>
      </c>
      <c r="E105" s="13" t="n"/>
      <c r="F105" s="23">
        <f>D105*E105</f>
        <v/>
      </c>
      <c r="G105" s="117">
        <f>F105</f>
        <v/>
      </c>
      <c r="H105" s="139" t="inlineStr">
        <is>
          <t xml:space="preserve">Cette ligne correspond à la mise à jour des documents par la Biologie et de leur mise à disposition pour les besoins de l'étude. Ligne applicable dès lors qu'un pôle de biologie est sollicité pour des activités d'analyses en local et/ou de prise en charge d'échantillons pour un laboratoire centralisé (non applicable pour les services cliniques).
</t>
        </is>
      </c>
    </row>
    <row r="106" ht="72.75" customFormat="1" customHeight="1" s="53">
      <c r="A106" s="183" t="inlineStr">
        <is>
          <t>Audit Promoteur au laboratoire de biologie ou pathologie : préparation, suivi, actions correctives. 4h/audit
(si applicable)</t>
        </is>
      </c>
      <c r="B106" s="9" t="inlineStr">
        <is>
          <t>par audit</t>
        </is>
      </c>
      <c r="C106" s="11" t="inlineStr">
        <is>
          <t>coût</t>
        </is>
      </c>
      <c r="D106" s="13" t="n"/>
      <c r="E106" s="13" t="n"/>
      <c r="F106" s="23">
        <f>D106*E106</f>
        <v/>
      </c>
      <c r="G106" s="117" t="inlineStr">
        <is>
          <t xml:space="preserve">Au prorata </t>
        </is>
      </c>
      <c r="H106" s="139" t="inlineStr">
        <is>
          <t>Forfait applicable si l'auditeur souhaite auditer/visiter le service de biologie et ou pathologie .
Forfait à dupliquer par service.</t>
        </is>
      </c>
    </row>
    <row r="107" ht="20.25" customFormat="1" customHeight="1" s="4">
      <c r="A107" s="227" t="inlineStr">
        <is>
          <t>BIOLOGIE - Acte nomenclaturé - NABM RIHN</t>
        </is>
      </c>
      <c r="B107" s="195" t="n"/>
      <c r="C107" s="195" t="n"/>
      <c r="D107" s="195" t="n"/>
      <c r="E107" s="195" t="n"/>
      <c r="F107" s="196" t="n"/>
      <c r="G107" s="129" t="n"/>
      <c r="H107" s="139" t="n"/>
    </row>
    <row r="108" ht="127.5" customFormat="1" customHeight="1" s="10">
      <c r="A108" s="183" t="inlineStr">
        <is>
          <t>Nomenclature : description analyses, panel avec code NABM et cotation individuelle ou globale.
Lister les visites</t>
        </is>
      </c>
      <c r="B108" s="9" t="inlineStr">
        <is>
          <t>Par bilan</t>
        </is>
      </c>
      <c r="C108" s="9" t="inlineStr">
        <is>
          <t>surcoût</t>
        </is>
      </c>
      <c r="D108" s="11" t="n"/>
      <c r="E108" s="9" t="n"/>
      <c r="F108" s="11">
        <f>D108*E108</f>
        <v/>
      </c>
      <c r="G108" s="117">
        <f>F108*$B$10</f>
        <v/>
      </c>
      <c r="H108" s="139" t="inlineStr">
        <is>
          <t>Description des analyses de biologie requises, avec réf NABM et cotation B. (Ex: NFS(1106)-B50).
Pour limiter le nombre de lignes, des panels peuvent être proposés par le coordonnateur, tout en respectant le principe des spécialités Biochimie, Hématologie, ACP. Quelques exemples sont présentés ci-après:
 - Ex: Panel e Biochimie (AST/ALT(522), GGT(519), Bili(1601), CRP(1804), Alb(1806))-B38. 
Pour les analyses coûteuses et non recurrentes, identifiez des lignes individuelles.
- Ex: Troponine T (7335)-B63
Pour chaque ligne, il convient de préciser les visites impliquant ce surcoût. 
A détailler en fonction du protocole bien prendre les références en vigueur sur les sites officiels http://www.codage.ext.cnamts.fr/codif/nabm/index_presentation.php?p_site=AMELI</t>
        </is>
      </c>
    </row>
    <row r="109" ht="76.5" customFormat="1" customHeight="1" s="10">
      <c r="A109" s="183" t="inlineStr">
        <is>
          <t>Forfait de sécurité (9105) et Forfait préanalytique (9005) - B22  
Lister les visites</t>
        </is>
      </c>
      <c r="B109" s="9" t="inlineStr">
        <is>
          <t xml:space="preserve">1 fois/jour/patient </t>
        </is>
      </c>
      <c r="C109" s="9" t="inlineStr">
        <is>
          <t>surcoût</t>
        </is>
      </c>
      <c r="D109" s="83" t="n"/>
      <c r="E109" s="9" t="n"/>
      <c r="F109" s="11">
        <f>D109*E109</f>
        <v/>
      </c>
      <c r="G109" s="117">
        <f>F109*$B$10</f>
        <v/>
      </c>
      <c r="H109" s="139" t="inlineStr">
        <is>
          <t>Ligne d'aide pour compléter la matrice. La ligne peut être supprimée si aucune analyse est effectuée en local.
Le forfait 9005 correspond à la prise en charge des échantillons avant analyse en local. Il est applicable dans la limite d'une fois/jour/patient. Le forfait 9105 correspond à l'élimination des déchets biologiques. Il est applicable dans la limite d'une fois/jour/patient. Les forfaits 9005 et 9105 sont regroupés sur une seule ligne.</t>
        </is>
      </c>
    </row>
    <row r="110" ht="20.25" customFormat="1" customHeight="1" s="10">
      <c r="A110" s="227" t="inlineStr">
        <is>
          <t>BIOLOGIE - Acte hors NABM RIHN</t>
        </is>
      </c>
      <c r="B110" s="195" t="n"/>
      <c r="C110" s="195" t="n"/>
      <c r="D110" s="195" t="n"/>
      <c r="E110" s="195" t="n"/>
      <c r="F110" s="196" t="n"/>
      <c r="G110" s="172" t="n"/>
      <c r="H110" s="139" t="n"/>
    </row>
    <row r="111" ht="144.75" customFormat="1" customHeight="1" s="10">
      <c r="A111" s="63" t="inlineStr">
        <is>
          <t>Temps Tech Labo. Gestion et technicage des prélèvements biologiques ; centrifugation, aliquotage, congélation, traçabilité ainsi que préparation des envois ambiants et carboglace le jour même (1h).       
Lister les visites</t>
        </is>
      </c>
      <c r="B111" s="9" t="inlineStr">
        <is>
          <t>Par visite</t>
        </is>
      </c>
      <c r="C111" s="73" t="inlineStr">
        <is>
          <t>coût</t>
        </is>
      </c>
      <c r="D111" s="35" t="n">
        <v>57.5</v>
      </c>
      <c r="E111" s="13" t="n"/>
      <c r="F111" s="11">
        <f>D111*E111</f>
        <v/>
      </c>
      <c r="G111" s="117">
        <f>F111*$B$10</f>
        <v/>
      </c>
      <c r="H111" s="139" t="inlineStr">
        <is>
          <t>Ligne standard de base /visite pour la prise en charge pré-analytique  des échantillons pour un laboratoire centralisé.
Cette prestation inclut la centrifugation, aliquotage, congélation, traçabilité ainsi que la préparation des envois ambiants +/- carboglace le jour même (1h / visite).
Les prises en charge spécifiques sont à ajouter avec la ligne "Temps Tech labo préparation spécifique" (duplicable).
L'approche consensuelle est d'une prise en charge forfaitaire de base pour des échantillon de type hématocytologie, biochimie safety, puis d'ajouter en "Temps Tech labo préparation spécifique", pour  les préparations qui le justifient (voir exemples ligne 80) afin de faciliter le suivi et la facturation. 
Il s'agit ici de comptabiliser uniquement les tubes de safety hémato, bioch hépato, coag qui sont envoyés en central lab . Si ces prélèvements sont analysés en local, la ligne sera non applicable .</t>
        </is>
      </c>
    </row>
    <row r="112" ht="60" customFormat="1" customHeight="1" s="10">
      <c r="A112" s="63" t="inlineStr">
        <is>
          <t>Temps Tech Labo. Gestion et technicage des prélèvements sanguins PK. Préparation et envoi au labo centralisé choisi par le promoteur 30min/point de PK
Lister les visites</t>
        </is>
      </c>
      <c r="B112" s="9" t="inlineStr">
        <is>
          <t>Par point de PK</t>
        </is>
      </c>
      <c r="C112" s="73" t="inlineStr">
        <is>
          <t>coût</t>
        </is>
      </c>
      <c r="D112" s="35" t="n">
        <v>28.75</v>
      </c>
      <c r="E112" s="13" t="n"/>
      <c r="F112" s="11">
        <f>D112*E112</f>
        <v/>
      </c>
      <c r="G112" s="117">
        <f>F112*$B$10</f>
        <v/>
      </c>
      <c r="H112" s="139" t="inlineStr">
        <is>
          <t xml:space="preserve"> Cette ligne est applicable pour toutes les Pk
 Cette ligne est donc comptabilisée par tube (véritable point de PK nécessaire à la recherche et non multiplication des aliquôts)  adressé en laboratoire dit "centralisé".</t>
        </is>
      </c>
    </row>
    <row r="113" ht="255" customFormat="1" customHeight="1" s="10">
      <c r="A113" s="63" t="inlineStr">
        <is>
          <t>Temps Tech Labo. Préparation spécifique (si préparation requise dans le protocole, à évaluer en fonction de la recherche).
Lister les visites</t>
        </is>
      </c>
      <c r="B113" s="13" t="inlineStr">
        <is>
          <t>par point</t>
        </is>
      </c>
      <c r="C113" s="13" t="inlineStr">
        <is>
          <t>coût</t>
        </is>
      </c>
      <c r="D113" s="35" t="n">
        <v>28.75</v>
      </c>
      <c r="E113" s="13" t="n"/>
      <c r="F113" s="21">
        <f>D113*E113</f>
        <v/>
      </c>
      <c r="G113" s="117">
        <f>F113*$B$10</f>
        <v/>
      </c>
      <c r="H113" s="149" t="inlineStr">
        <is>
          <t>Cette ligne est duplicable pour décrire toutes les activités de biologie non prises en compte dans la ligne générique. Son application nécessite l'expertise de personnels de la biologie, ou de l'ACP. 
Afin de faciliter le montage financier des prestations pré-analytiques complexes, une liste informelle (non exhaustive) est proposée (facturable par prestation demandée) : La ligne doit être dupliquée pour chaque item décrit:
Exemples de prestations (par temps croissant) : 
- Volumes d’aliquotage différents (&gt;5) sur une même visite spécifique (100µl, 200µl, 500µl) (15min)
- Double centrifugation (30min)
- Préparation solution stabilisante (30 min)
- Préparation selles (30 min)
- Préparation des CSF (LCR) 60 min
- Préparation  souchothèque (60 min)
- Quantiféron (incubation) (60 min)
- Prise en charge Tubes Génétique RNA/DNA (30min)
- Envoi de Bloc +/- lames vers une structure externe (60min)
- PBMC/Ficoll (3h)
- Intervention des services de Gardes : (2h/visite /par cinétique)
- Extraction ADN/ARN contrôle qualité inclus (-)
- Autres (-)
Lignes dupliquées selon type de tubes (non exhaustif)</t>
        </is>
      </c>
    </row>
    <row r="114" ht="57.75" customFormat="1" customHeight="1" s="53">
      <c r="A114" s="63" t="inlineStr">
        <is>
          <t>Temps Tech Labo " Plateforme saisie Web" Mise en place formation
 2h/Tech Labo
 (si applicable)</t>
        </is>
      </c>
      <c r="B114" s="9" t="inlineStr">
        <is>
          <t xml:space="preserve">par personnel
</t>
        </is>
      </c>
      <c r="C114" s="13" t="inlineStr">
        <is>
          <t>coût</t>
        </is>
      </c>
      <c r="D114" s="35" t="n">
        <v>115</v>
      </c>
      <c r="E114" s="54" t="n"/>
      <c r="F114" s="37">
        <f>D114*E114</f>
        <v/>
      </c>
      <c r="G114" s="123" t="inlineStr">
        <is>
          <t>Au prorata</t>
        </is>
      </c>
      <c r="H114" s="139" t="inlineStr">
        <is>
          <t>Cette ligne sera apppliquée si le promoteur sollicite une saisie des échantillons préparés sur une plateforme web ET si le service prestataire  accepte le process de traçabilité sur une plateforme web. Le nombre de Tech formé sera défini par "le training log"</t>
        </is>
      </c>
    </row>
    <row r="115" ht="42.75" customFormat="1" customHeight="1" s="53">
      <c r="A115" s="63" t="inlineStr">
        <is>
          <t>Temps Tech Labo. Préparation et suivi Monitoring :
 60 min/monitoring
au prorata (si applicable)</t>
        </is>
      </c>
      <c r="B115" s="9" t="inlineStr">
        <is>
          <t xml:space="preserve">par monitoring
</t>
        </is>
      </c>
      <c r="C115" s="13" t="inlineStr">
        <is>
          <t>coût</t>
        </is>
      </c>
      <c r="D115" s="35" t="n">
        <v>57.5</v>
      </c>
      <c r="E115" s="54" t="n"/>
      <c r="F115" s="37">
        <f>D115*E115</f>
        <v/>
      </c>
      <c r="G115" s="123" t="inlineStr">
        <is>
          <t>Au prorata</t>
        </is>
      </c>
      <c r="H115" s="139" t="n"/>
    </row>
    <row r="116" ht="57" customFormat="1" customHeight="1" s="53">
      <c r="A116" s="63" t="inlineStr">
        <is>
          <t>Temps Tech Labo "Amendement au Manuel de labo" - Rédaction /Formation: 2h/amendement substantiel
au prorata  (si applicable)</t>
        </is>
      </c>
      <c r="B116" s="9" t="inlineStr">
        <is>
          <t>par amendement</t>
        </is>
      </c>
      <c r="C116" s="13" t="inlineStr">
        <is>
          <t>coût</t>
        </is>
      </c>
      <c r="D116" s="35" t="n">
        <v>115</v>
      </c>
      <c r="E116" s="54" t="n"/>
      <c r="F116" s="37">
        <f>D116*E116</f>
        <v/>
      </c>
      <c r="G116" s="123" t="inlineStr">
        <is>
          <t>Au prorata</t>
        </is>
      </c>
      <c r="H116" s="139" t="inlineStr">
        <is>
          <t>Mise à jour des procédures et documention interne. Formation des personnels</t>
        </is>
      </c>
    </row>
    <row r="117" ht="63.75" customFormat="1" customHeight="1" s="4">
      <c r="A117" s="63" t="inlineStr">
        <is>
          <t>Forfait de conservation à visée de recherche
Stockage et sortie quelque soit la nature de l'échantillon (serum plasma, urine, ADN…) si requis par le protocole. A évaluer au prorata du nombre d'années.</t>
        </is>
      </c>
      <c r="B117" s="9" t="inlineStr">
        <is>
          <t>Forfait annuel</t>
        </is>
      </c>
      <c r="C117" s="13" t="inlineStr">
        <is>
          <t>coût</t>
        </is>
      </c>
      <c r="D117" s="35" t="n">
        <v>224.72</v>
      </c>
      <c r="E117" s="13" t="n"/>
      <c r="F117" s="37">
        <f>D117*E117</f>
        <v/>
      </c>
      <c r="G117" s="117">
        <f>F117</f>
        <v/>
      </c>
      <c r="H117" s="139" t="inlineStr">
        <is>
          <t>Cette ligne est applicable dès lors qu'il y a la mise à disposition d'un matériel calibré et suivi pour répondre aux besoins de l'étude. Ce forfait s’applique quelque soit la nature de l'échantillon, quelque soit la quantité de tubes pris en charge, quelque soit la température demandée (ambiant, 4°C, -20°C, -80°C), quelque soit la durée de stockage (jour-même, 24h, 1 semaine, 1 an max). Ce forfait pourra être adapté pour les demandes de stockages volumineux.</t>
        </is>
      </c>
    </row>
    <row r="118" ht="127.5" customFormat="1" customHeight="1" s="4">
      <c r="A118" s="184" t="inlineStr">
        <is>
          <t>Temps de mise en place d'une activité, hors circuit de routine, imposée par la recherche dans un Laboratoire de spécialité.
Temps biologiste:  4 h
Temps tech labo : 4 h</t>
        </is>
      </c>
      <c r="B118" s="9" t="inlineStr">
        <is>
          <t>Par laboratoire de spécialité/ Recherche</t>
        </is>
      </c>
      <c r="C118" s="9" t="inlineStr">
        <is>
          <t>coût</t>
        </is>
      </c>
      <c r="D118" s="11" t="n">
        <v>695.6</v>
      </c>
      <c r="E118" s="34" t="n"/>
      <c r="F118" s="37">
        <f>D118*E118</f>
        <v/>
      </c>
      <c r="G118" s="117">
        <f>F118</f>
        <v/>
      </c>
      <c r="H118" s="139" t="inlineStr">
        <is>
          <t>Cette ligne a fait l'objet d'une évaluation moyenne pour une intervention d'un laboratoire de spécialité. Elle est applicable uniquement pour une prise en charge hors des circuits et des activités de routine. Elle est spécifique et imposée par le promoteur et nécessite de la formation,  la mise en place de procédures et de mode opératoire spécifiques.
Elle comprend l'expertise par le biologiste/le pathologiste, la participation à la réunion de mise en place, la mise en place d'une procédure qualité, la formation des personnels techniques du laboratoire, la gestion documentaire propre à chaque sponsor , un circuit des échantillons adapté aux exigences des protocoles 
Cette ligne est duplicable en fonction des services concernés (par laboratoire de spécialité) Elle n'est pas applicable pour les services cliniques.</t>
        </is>
      </c>
    </row>
    <row r="119" ht="102" customFormat="1" customHeight="1" s="4">
      <c r="A119" s="184" t="inlineStr">
        <is>
          <t>Temps de mise en place d'une activité "Central Lab" au pôle de biologie/CRB
Temps tech labo : 9 h</t>
        </is>
      </c>
      <c r="B119" s="9" t="inlineStr">
        <is>
          <t>Par laboratoire de spécialité/ Recherche</t>
        </is>
      </c>
      <c r="C119" s="9" t="inlineStr">
        <is>
          <t>coût</t>
        </is>
      </c>
      <c r="D119" s="11" t="n">
        <v>517.5</v>
      </c>
      <c r="E119" s="34" t="n"/>
      <c r="F119" s="37">
        <f>D119*E119</f>
        <v/>
      </c>
      <c r="G119" s="117">
        <f>F119</f>
        <v/>
      </c>
      <c r="H119" s="139" t="inlineStr">
        <is>
          <t>Description des activités quantifiées lors de la mise en place d'une recherche avec du Central Lab (Prélèvements ou recueil adressés en labo Centralisé.:
Visite de mep, formation par la CRO; lecture du manuel lab et du synospsis de l'étude: 2h
Rédaction des PR et MO spécifiques et documents de traçabilité. Validation des circuits spécifiques .Validation des documents pour les transports. Gestion documentaire au cours de l'étude: 4h
Formation/Habilitation des Tech Labo: 3*1h
Cette ligne est duplicable en fonction des services concernés (par laboratoire de spécialité) Elle n'est pas applicable pour les services cliniques.</t>
        </is>
      </c>
    </row>
    <row r="120" ht="75" customFormat="1" customHeight="1" s="10">
      <c r="A120" s="184" t="inlineStr">
        <is>
          <t>Temps coordination pour la mise en place dans un service de garde: réunion de mep, rédaction flag et procédure, formation
Temps TEC coord : 8 h
Temps tech labo form: 6 h x 2</t>
        </is>
      </c>
      <c r="B120" s="9" t="inlineStr">
        <is>
          <t>Par centre acceptant cette spécificité
(à la demande explicite du promoteur)
Si applicable</t>
        </is>
      </c>
      <c r="C120" s="9" t="inlineStr">
        <is>
          <t>coût</t>
        </is>
      </c>
      <c r="D120" s="11" t="n">
        <v>1150</v>
      </c>
      <c r="E120" s="34" t="n"/>
      <c r="F120" s="37">
        <f>D120*E120</f>
        <v/>
      </c>
      <c r="G120" s="117">
        <f>F120</f>
        <v/>
      </c>
      <c r="H120" s="139" t="inlineStr">
        <is>
          <t>Pour les recherches nécessitant l'intervention du service de garde Lun-ven(17h00-8h00);  Sam; Dim &amp; JF.  Cette ligne permet de garantir la mep et la qualité de la prise en charge des échantillons par un service de garde 7j/7 24h/24. La demande d'intervention du service de garde doit  être explicite de la part du promoteur., pour des activités d'inclusion, de suivi, de PK.
Cette lignes n'estpas applicables pour les services cliniques.</t>
        </is>
      </c>
    </row>
    <row r="121" ht="19.5" customFormat="1" customHeight="1" s="10">
      <c r="A121" s="227" t="inlineStr">
        <is>
          <t>ANATOMO-PATHOLOGIE - Acte nomenclaturé CCAM</t>
        </is>
      </c>
      <c r="B121" s="195" t="n"/>
      <c r="C121" s="195" t="n"/>
      <c r="D121" s="195" t="n"/>
      <c r="E121" s="195" t="n"/>
      <c r="F121" s="196" t="n"/>
      <c r="G121" s="129" t="n"/>
      <c r="H121" s="139" t="n"/>
    </row>
    <row r="122" ht="25.5" customFormat="1" customHeight="1" s="10">
      <c r="A122" s="94" t="inlineStr">
        <is>
          <t>Acte</t>
        </is>
      </c>
      <c r="B122" s="12" t="inlineStr">
        <is>
          <t>Par acte</t>
        </is>
      </c>
      <c r="C122" s="12" t="inlineStr">
        <is>
          <t>surcoût</t>
        </is>
      </c>
      <c r="D122" s="84" t="n"/>
      <c r="E122" s="27" t="n"/>
      <c r="F122" s="25">
        <f>D122*E122</f>
        <v/>
      </c>
      <c r="G122" s="130">
        <f>F122*$B$10</f>
        <v/>
      </c>
      <c r="H122" s="150" t="inlineStr">
        <is>
          <t xml:space="preserve">La ligne est dédiée aux actes d'ACP d'analyse. Les actes de biopsie, d'anesthésie sont des actes médicaux et  doivent être colligés dans la partie des "Actes Nomenclaturés" de la grille.  </t>
        </is>
      </c>
    </row>
    <row r="123" ht="19.5" customFormat="1" customHeight="1" s="10">
      <c r="A123" s="227" t="inlineStr">
        <is>
          <t>ANATOMO-PATHOLOGIE - Acte hors nomenclature CCAM</t>
        </is>
      </c>
      <c r="B123" s="195" t="n"/>
      <c r="C123" s="195" t="n"/>
      <c r="D123" s="195" t="n"/>
      <c r="E123" s="195" t="n"/>
      <c r="F123" s="196" t="n"/>
      <c r="G123" s="172" t="n"/>
      <c r="H123" s="139" t="n"/>
    </row>
    <row r="124" ht="84" customFormat="1" customHeight="1" s="4">
      <c r="A124" s="63" t="inlineStr">
        <is>
          <t>Préparation et envoi biopsie fraiche ou archivée pour relecture centralisée
Identification des blocs, préparations des lames (blanches ou colorées) gestion des formulaires d'envoi ( remplissage et classement).
Lister les visites</t>
        </is>
      </c>
      <c r="B124" s="9" t="inlineStr">
        <is>
          <t>Par bloc ou biopsie envoyés</t>
        </is>
      </c>
      <c r="C124" s="9" t="inlineStr">
        <is>
          <t>coût</t>
        </is>
      </c>
      <c r="D124" s="35" t="n">
        <v>168.54</v>
      </c>
      <c r="E124" s="32" t="n"/>
      <c r="F124" s="25">
        <f>D124*E124</f>
        <v/>
      </c>
      <c r="G124" s="117">
        <f>F124*$B$10</f>
        <v/>
      </c>
      <c r="H124" s="139" t="inlineStr">
        <is>
          <t xml:space="preserve">Cette ligne comprend la réalisation d'actes standard par le laboratoire d'ACP. Réalisation d'un bloc de paraffine , préparation de lames (max:20), et l'envoi des matériels. Pour l'expertise médicale, sélection de la biopsie et validation de la zone d'intérêt, il faut le cas échéant ajouter la ligne " Temps médical ACP: 1,5h" (Module "Tâche d'investigation")
Ces lignes ne sont pas applicables pour les services cliniques.     
                                                                                                                            </t>
        </is>
      </c>
    </row>
    <row r="125" ht="76.5" customFormat="1" customHeight="1" s="10">
      <c r="A125" s="184" t="inlineStr">
        <is>
          <t>Temps Médecin ACP : expertise; sélection du bloc et de la zone d'intérêt de la biopsie avant traitement et envoi en labo central.
Lister les visites</t>
        </is>
      </c>
      <c r="B125" s="9" t="inlineStr">
        <is>
          <t xml:space="preserve">
Par visite
1h30</t>
        </is>
      </c>
      <c r="C125" s="9" t="inlineStr">
        <is>
          <t>Coût</t>
        </is>
      </c>
      <c r="D125" s="35" t="n">
        <v>174.6</v>
      </c>
      <c r="E125" s="34" t="n"/>
      <c r="F125" s="25">
        <f>D125*E125</f>
        <v/>
      </c>
      <c r="G125" s="117">
        <f>F125*$B$10</f>
        <v/>
      </c>
      <c r="H125" s="139" t="inlineStr">
        <is>
          <t>Cette ligne est applicable par le service d'ACP pour la sélection du bloc et de la zone d'intérêt de la Biopsie fraîche ou archivée, ou des controles et anotations des images post numérisation . Elle n'est applicable que si un médecin ACP intervient. Elle est cumulative avec le forfait de 150€.
Ces lignes ne sont pas applicables pour les services cliniques.
Cette ligne est applicable au médecin Ana-Path donc doit être placée en ACP.</t>
        </is>
      </c>
    </row>
    <row r="126" ht="63.75" customFormat="1" customHeight="1" s="10">
      <c r="A126" s="63" t="inlineStr">
        <is>
          <t>Temps tech labo. Préparation spécifique (si préparation requise dans le protocole, à évaluer en fonction de la recherche).
Lister les visites</t>
        </is>
      </c>
      <c r="B126" s="9" t="inlineStr">
        <is>
          <t>par visite</t>
        </is>
      </c>
      <c r="C126" s="13" t="inlineStr">
        <is>
          <t>coût</t>
        </is>
      </c>
      <c r="D126" s="11" t="n"/>
      <c r="E126" s="32" t="n"/>
      <c r="F126" s="25">
        <f>D126*E126</f>
        <v/>
      </c>
      <c r="G126" s="117">
        <f>F126*$B$10</f>
        <v/>
      </c>
      <c r="H126" s="139" t="inlineStr">
        <is>
          <t xml:space="preserve">Pour une raison de lisibilité cette ligne est dupliquée  et reportée dans le module "ANATOMO-PATHOLOGIE - acte hors nomenclature CCAM".
Ex: Préparation d'expectorations induites: 90 min/visite.                                                                                                                                                                                                                                                                                                                                                                                                                                   Cette ligne peut être utilisée, lorsqu'une demande par un service clinique s'adresse à un laboratoire externe pour la récupération d'un bloc / lames. La valeur est de 50 € par récupération 
</t>
        </is>
      </c>
    </row>
    <row r="127" ht="30" customFormat="1" customHeight="1" s="10">
      <c r="A127" s="97" t="inlineStr">
        <is>
          <t>Temps tech labo préparation spécifique :  lames si &gt;20
Lister les visites</t>
        </is>
      </c>
      <c r="B127" s="9" t="inlineStr">
        <is>
          <t>Par lot de 5 lames (au delà de 20)</t>
        </is>
      </c>
      <c r="C127" s="13" t="inlineStr">
        <is>
          <t>Coût</t>
        </is>
      </c>
      <c r="D127" s="35" t="n">
        <v>11.24</v>
      </c>
      <c r="E127" s="32" t="n"/>
      <c r="F127" s="25">
        <f>D127*E127</f>
        <v/>
      </c>
      <c r="G127" s="117">
        <f>F127*$B$10</f>
        <v/>
      </c>
      <c r="H127" s="139" t="inlineStr">
        <is>
          <t>Pour un nombre de lames demandé &gt; 20 lames, une facture de 11,24€ / lot de 5 lames sera éditée.</t>
        </is>
      </c>
    </row>
    <row r="128" ht="60" customFormat="1" customHeight="1" s="2">
      <c r="A128" s="184" t="inlineStr">
        <is>
          <t xml:space="preserve">Forfait de désarchivage blocs tumoraux depuis un laboratoire extérieur (50 € ou si &gt; 50 € au réel sur présentation d'une facture).
</t>
        </is>
      </c>
      <c r="B128" s="9" t="inlineStr">
        <is>
          <t>Par désarchivage</t>
        </is>
      </c>
      <c r="C128" s="13" t="inlineStr">
        <is>
          <t>coût</t>
        </is>
      </c>
      <c r="D128" s="35" t="n"/>
      <c r="E128" s="13" t="n"/>
      <c r="F128" s="25">
        <f>D128*E128</f>
        <v/>
      </c>
      <c r="G128" s="117" t="inlineStr">
        <is>
          <t>Au prorata</t>
        </is>
      </c>
      <c r="H128" s="139" t="inlineStr">
        <is>
          <t xml:space="preserve">Remboursement des frais de désarchivage des blocs tumoraux depuis un laboratoire extérieur.
A mentionner dès lors que le protocole laisse la possibilité de fournir du matériel archivé </t>
        </is>
      </c>
      <c r="I128" s="10" t="n"/>
      <c r="J128" s="10" t="n"/>
      <c r="K128" s="10" t="n"/>
      <c r="L128" s="10" t="n"/>
      <c r="M128" s="10" t="n"/>
      <c r="N128" s="10" t="n"/>
      <c r="O128" s="10" t="n"/>
      <c r="P128" s="10" t="n"/>
      <c r="Q128" s="10" t="n"/>
      <c r="R128" s="10" t="n"/>
      <c r="S128" s="10" t="n"/>
      <c r="T128" s="10" t="n"/>
      <c r="U128" s="10" t="n"/>
      <c r="V128" s="10" t="n"/>
      <c r="W128" s="10" t="n"/>
      <c r="X128" s="10" t="n"/>
      <c r="Y128" s="10" t="n"/>
      <c r="Z128" s="10" t="n"/>
      <c r="AA128" s="10" t="n"/>
      <c r="AB128" s="10" t="n"/>
      <c r="AC128" s="10" t="n"/>
      <c r="AD128" s="10" t="n"/>
      <c r="AE128" s="10" t="n"/>
      <c r="AF128" s="10" t="n"/>
      <c r="AG128" s="10" t="n"/>
      <c r="AH128" s="10" t="n"/>
      <c r="AI128" s="10" t="n"/>
      <c r="AJ128" s="10" t="n"/>
      <c r="AK128" s="10" t="n"/>
      <c r="AL128" s="10" t="n"/>
      <c r="AM128" s="10" t="n"/>
      <c r="AN128" s="10" t="n"/>
      <c r="AO128" s="10" t="n"/>
      <c r="AP128" s="10" t="n"/>
      <c r="AQ128" s="10" t="n"/>
      <c r="AR128" s="10" t="n"/>
      <c r="AS128" s="10" t="n"/>
      <c r="AT128" s="10" t="n"/>
      <c r="AU128" s="10" t="n"/>
      <c r="AV128" s="10" t="n"/>
      <c r="AW128" s="10" t="n"/>
      <c r="AX128" s="10" t="n"/>
      <c r="AY128" s="10" t="n"/>
      <c r="AZ128" s="10" t="n"/>
      <c r="BA128" s="10" t="n"/>
      <c r="BB128" s="10" t="n"/>
      <c r="BC128" s="10" t="n"/>
      <c r="BD128" s="10" t="n"/>
      <c r="BE128" s="10" t="n"/>
      <c r="BF128" s="10" t="n"/>
      <c r="BG128" s="10" t="n"/>
      <c r="BH128" s="10" t="n"/>
      <c r="BI128" s="10" t="n"/>
      <c r="BJ128" s="10" t="n"/>
      <c r="BK128" s="10" t="n"/>
      <c r="BL128" s="10" t="n"/>
      <c r="BM128" s="10" t="n"/>
      <c r="BN128" s="10" t="n"/>
      <c r="BO128" s="10" t="n"/>
      <c r="BP128" s="10" t="n"/>
      <c r="BQ128" s="10" t="n"/>
      <c r="BR128" s="10" t="n"/>
      <c r="BS128" s="10" t="n"/>
      <c r="BT128" s="10" t="n"/>
      <c r="BU128" s="10" t="n"/>
      <c r="BV128" s="10" t="n"/>
      <c r="BW128" s="10" t="n"/>
      <c r="BX128" s="10" t="n"/>
      <c r="BY128" s="10" t="n"/>
      <c r="BZ128" s="10" t="n"/>
      <c r="CA128" s="10" t="n"/>
      <c r="CB128" s="10" t="n"/>
      <c r="CC128" s="10" t="n"/>
      <c r="CD128" s="10" t="n"/>
      <c r="CE128" s="10" t="n"/>
      <c r="CF128" s="10" t="n"/>
      <c r="CG128" s="10" t="n"/>
      <c r="CH128" s="10" t="n"/>
      <c r="CI128" s="10" t="n"/>
      <c r="CJ128" s="10" t="n"/>
      <c r="CK128" s="10" t="n"/>
      <c r="CL128" s="10" t="n"/>
      <c r="CM128" s="10" t="n"/>
      <c r="CN128" s="10" t="n"/>
      <c r="CO128" s="10" t="n"/>
      <c r="CP128" s="10" t="n"/>
      <c r="CQ128" s="10" t="n"/>
      <c r="CR128" s="10" t="n"/>
      <c r="CS128" s="10" t="n"/>
      <c r="CT128" s="10" t="n"/>
      <c r="CU128" s="10" t="n"/>
      <c r="CV128" s="10" t="n"/>
      <c r="CW128" s="10" t="n"/>
      <c r="CX128" s="10" t="n"/>
      <c r="CY128" s="10" t="n"/>
      <c r="CZ128" s="10" t="n"/>
      <c r="DA128" s="10" t="n"/>
      <c r="DB128" s="10" t="n"/>
      <c r="DC128" s="10" t="n"/>
      <c r="DD128" s="10" t="n"/>
      <c r="DE128" s="10" t="n"/>
      <c r="DF128" s="10" t="n"/>
      <c r="DG128" s="10" t="n"/>
      <c r="DH128" s="10" t="n"/>
      <c r="DI128" s="10" t="n"/>
      <c r="DJ128" s="10" t="n"/>
      <c r="DK128" s="10" t="n"/>
      <c r="DL128" s="10" t="n"/>
      <c r="DM128" s="10" t="n"/>
      <c r="DN128" s="10" t="n"/>
      <c r="DO128" s="10" t="n"/>
      <c r="DP128" s="10" t="n"/>
      <c r="DQ128" s="10" t="n"/>
      <c r="DR128" s="10" t="n"/>
      <c r="DS128" s="10" t="n"/>
      <c r="DT128" s="10" t="n"/>
      <c r="DU128" s="10" t="n"/>
      <c r="DV128" s="10" t="n"/>
      <c r="DW128" s="10" t="n"/>
      <c r="DX128" s="10" t="n"/>
      <c r="DY128" s="10" t="n"/>
      <c r="DZ128" s="10" t="n"/>
      <c r="EA128" s="10" t="n"/>
      <c r="EB128" s="10" t="n"/>
      <c r="EC128" s="10" t="n"/>
      <c r="ED128" s="10" t="n"/>
      <c r="EE128" s="10" t="n"/>
      <c r="EF128" s="10" t="n"/>
      <c r="EG128" s="10" t="n"/>
      <c r="EH128" s="10" t="n"/>
      <c r="EI128" s="10" t="n"/>
      <c r="EJ128" s="10" t="n"/>
      <c r="EK128" s="10" t="n"/>
      <c r="EL128" s="10" t="n"/>
      <c r="EM128" s="10" t="n"/>
      <c r="EN128" s="10" t="n"/>
      <c r="EO128" s="10" t="n"/>
      <c r="EP128" s="10" t="n"/>
      <c r="EQ128" s="10" t="n"/>
      <c r="ER128" s="10" t="n"/>
      <c r="ES128" s="10" t="n"/>
      <c r="ET128" s="10" t="n"/>
      <c r="EU128" s="10" t="n"/>
      <c r="EV128" s="10" t="n"/>
      <c r="EW128" s="10" t="n"/>
      <c r="EX128" s="10" t="n"/>
      <c r="EY128" s="10" t="n"/>
    </row>
    <row r="129" ht="35.25" customFormat="1" customHeight="1" s="10">
      <c r="A129" s="226" t="inlineStr">
        <is>
          <t>IMAGERIE</t>
        </is>
      </c>
      <c r="B129" s="195" t="n"/>
      <c r="C129" s="195" t="n"/>
      <c r="D129" s="195" t="n"/>
      <c r="E129" s="195" t="n"/>
      <c r="F129" s="196" t="n"/>
      <c r="G129" s="128" t="n"/>
      <c r="H129" s="145" t="n"/>
    </row>
    <row r="130" ht="178.5" customFormat="1" customHeight="1" s="10">
      <c r="A130" s="183" t="inlineStr">
        <is>
          <t xml:space="preserve">Forfait frais de mise en place de la recherche en imagerie
4h temps TEC + 1h temps médical
</t>
        </is>
      </c>
      <c r="B130" s="22" t="inlineStr">
        <is>
          <t xml:space="preserve">Par centre
</t>
        </is>
      </c>
      <c r="C130" s="14" t="inlineStr">
        <is>
          <t>coût</t>
        </is>
      </c>
      <c r="D130" s="228" t="n">
        <v>346.4</v>
      </c>
      <c r="E130" s="200" t="n">
        <v>1</v>
      </c>
      <c r="F130" s="229" t="n">
        <v>346.4</v>
      </c>
      <c r="G130" s="230" t="n">
        <v>346.4</v>
      </c>
      <c r="H130" s="139" t="inlineStr">
        <is>
          <t>Ce forfait est applicable à toute recherche nécessitant de l'imagerie. Il intègre les tâches de base suivantes: prise de connaissance du protocole et de ses exigences, étude de faisabilité, élaboration des surcoûts en Imagerie , réponse aux questionnaires et  maitrise des BPC, réunion de mise en place, formation des équipes d'imagerie, rédaction des procédures pour le service.
Si la participation de plusieurs unités d'imagerie ou de l'utilisation de plusieurs modalités  est requise pour la mise en place, cette ligne  peut  être dupliquée. La duplication doit être justifiée par un investissement particulier et substantiel pour les différentes modalités, équipements ou services concernés (ex : service IRM + médecine nucléaire). La décision sera de la responsabilité du service imagerie du centre coordonnateur et devra être applicable à tous les centres associés quel que soit les organisations. 
A préciser ou dupliquer si radiothérapie ou médecine nucléaire.
L'application de ce forfait est indépendante des inclusions réelles et de la réalisation effective d’examens car situé en amont de ces phases.</t>
        </is>
      </c>
    </row>
    <row r="131" ht="40.5" customFormat="1" customHeight="1" s="10">
      <c r="A131" s="98" t="inlineStr">
        <is>
          <t>Forfait imagerie complexe
Si le protocole requiert une expertise spécifique d'imagerie. Sur justificatif.</t>
        </is>
      </c>
      <c r="B131" s="14" t="inlineStr">
        <is>
          <t xml:space="preserve">Par centre </t>
        </is>
      </c>
      <c r="C131" s="14" t="inlineStr">
        <is>
          <t>coût</t>
        </is>
      </c>
      <c r="D131" s="35" t="n"/>
      <c r="E131" s="24" t="n"/>
      <c r="F131" s="21">
        <f>D131*E131</f>
        <v/>
      </c>
      <c r="G131" s="131">
        <f>F131</f>
        <v/>
      </c>
      <c r="H131" s="139" t="n"/>
    </row>
    <row r="132" ht="127.5" customFormat="1" customHeight="1" s="10">
      <c r="A132" s="98" t="inlineStr">
        <is>
          <t xml:space="preserve">Relecture d'un examen réalisé en dehors du centre - 30min temps médical.
</t>
        </is>
      </c>
      <c r="B132" s="22" t="inlineStr">
        <is>
          <t xml:space="preserve">Par examen
</t>
        </is>
      </c>
      <c r="C132" s="14" t="inlineStr">
        <is>
          <t>coût</t>
        </is>
      </c>
      <c r="D132" s="35" t="n">
        <v>58.2</v>
      </c>
      <c r="E132" s="24" t="n"/>
      <c r="F132" s="21">
        <f>D132*E132</f>
        <v/>
      </c>
      <c r="G132" s="131" t="inlineStr">
        <is>
          <t>Au prorata</t>
        </is>
      </c>
      <c r="H132" s="139" t="inlineStr">
        <is>
          <t>Qu’il s’agisse de soin courant ou de surcoût,  tout examen réalisé en dehors du centre, nécessitant une relecture, peut justifier du temps médical supplémentaire. Cette ligne n'intègre pas le ""Temps médical pour expertise en imagerie à la demande du promoteur"" (voir plus bas).
Pour les examens réalisés en dehors du centre et nécessitant une relecture , ce temps sera évalué et comptabilisé au moment de la facturation, si applicable. La relecture d’un examen réalisé à l’extérieur du centre nécessite également du temps TEC justifié par l’enregistrement ou le téléchargement des données sur le PACS  et les réconciliations entre examens ou avec le dossier patient.  Ces tâches sont également dépendantes de la disponibilité du matériel. Ce temps doit alors être intégré dans la ligne « Temps TEC : logistique» à hauteur d’ ½ h de temps TEC par examen.
Tous les examens sont susceptibles d'être relus, si cela est prévu dans le protocole.</t>
        </is>
      </c>
    </row>
    <row r="133" ht="153" customFormat="1" customHeight="1" s="10">
      <c r="A133" s="98" t="inlineStr">
        <is>
          <t>Forfait de maintenance spécifique (si non déjà pris en compte).</t>
        </is>
      </c>
      <c r="B133" s="9" t="inlineStr">
        <is>
          <t>Par équipement si applicable dans le cadre du protocole</t>
        </is>
      </c>
      <c r="C133" s="14" t="inlineStr">
        <is>
          <t>coût</t>
        </is>
      </c>
      <c r="D133" s="35" t="n">
        <v>112.36</v>
      </c>
      <c r="E133" s="24" t="n"/>
      <c r="F133" s="21">
        <f>D133*E133</f>
        <v/>
      </c>
      <c r="G133" s="131" t="n"/>
      <c r="H133" s="151" t="inlineStr">
        <is>
          <t xml:space="preserve"> En pratique, par équipement si applicable dans le cadre du protocole (et non par établissement). Forfait "contribution au coût des  prestations externes de certification sur les dispositifs médicaux , calibration et étalonnage" (EARL,...): par équipement
si applicable dans le cadre du protocole, 112,36 €. Ces certifications étant souvent réclamées a posteriori de l’évaluation des surcoûts,  il est nécessaire de prévoir systématiquement cette ligne en précisant « Si applicable dans le cadre du protocole». Ce forfait est envisagé par équipement (et non par établissement) et concerne la certification / calibration propre à la recherche : il n’a pas pour objectif d’assumer la maintenance courante des équipements. Les certificats de maintenance des appareils ne sont donc pas pris en compte sur cette ligne. 
Exemples: envoi mensuel d'un contrôle QC pour un DEXA, certificats / calibration propre à la recherche pour l'imagerie ou la médecine nucléaire, etc
Contrairement à la ligne 23, le forfait ici est spécifique à un appareil d''imagerie.</t>
        </is>
      </c>
    </row>
    <row r="134" ht="125.25" customFormat="1" customHeight="1" s="10">
      <c r="A134" s="184" t="inlineStr">
        <is>
          <t>Tâches spécifiques d'expertise liées à l'imagerie : anonymisation/gravure des données, gravure de CD
30 min de temps TEC
Lister les visites</t>
        </is>
      </c>
      <c r="B134" s="9" t="inlineStr">
        <is>
          <t xml:space="preserve">Par examen 
</t>
        </is>
      </c>
      <c r="C134" s="14" t="inlineStr">
        <is>
          <t>coût</t>
        </is>
      </c>
      <c r="D134" s="35" t="n">
        <v>28.75</v>
      </c>
      <c r="E134" s="24" t="n"/>
      <c r="F134" s="21">
        <f>D134*E134</f>
        <v/>
      </c>
      <c r="G134" s="131">
        <f>F134*$B$10</f>
        <v/>
      </c>
      <c r="H134" s="139" t="inlineStr">
        <is>
          <t>En pratique, calcul par examen, 30 mn temps TEC (et non par patient). Cette ligne n’intègre pas l’envoi et le transfert des images. 
Si l’envoi ou le transfert doit être réalisé par l’imagerie, rajouter une ligne « envoi des données » dans la partie « actes non nomenclaturés ».  
Il s’agit d’un temps TEC par examen. 
Demandes formulées aux imageurs pour l'obtention de données étayant l'ensemble des étapes d'anonymisation qui permettent de définir un temps moyen.
Applicable dès lors que les images doivent être envoyées pour relecture centralisée</t>
        </is>
      </c>
    </row>
    <row r="135" ht="76.5" customFormat="1" customHeight="1" s="10">
      <c r="A135" s="68" t="inlineStr">
        <is>
          <t>Temps TEC : envoi des images via les plateformes internet ou via DVD et transmission des DTF (data transmittal form) - 30 min de temps TEC 
Lister les visites</t>
        </is>
      </c>
      <c r="B135" s="9" t="inlineStr">
        <is>
          <t>Par examen</t>
        </is>
      </c>
      <c r="C135" s="13" t="inlineStr">
        <is>
          <t>coût</t>
        </is>
      </c>
      <c r="D135" s="35" t="n">
        <v>28.75</v>
      </c>
      <c r="E135" s="32" t="n"/>
      <c r="F135" s="21">
        <f>D135*E135</f>
        <v/>
      </c>
      <c r="G135" s="131">
        <f>F135*$B$10</f>
        <v/>
      </c>
      <c r="H135" s="180" t="inlineStr">
        <is>
          <t>L’envoi est réalisé par examen.
Demandes formulées aux imageurs pour l'obtention de données étayant l'ensemble des étapes d'envoi des images via les plateformes internet ou via DVD et transmission des DTF qui permettent de définir un temps moyen.
Dupliquer les lignes par type d'examen : exemple 1 ligne pour les TDM , 1 ligne pour l'IRM cérébral, 1 ligne pour le TEP etc...</t>
        </is>
      </c>
    </row>
    <row r="136" ht="21.75" customFormat="1" customHeight="1" s="10">
      <c r="A136" s="231" t="inlineStr">
        <is>
          <t>Actes nomenclaturés</t>
        </is>
      </c>
      <c r="B136" s="195" t="n"/>
      <c r="C136" s="195" t="n"/>
      <c r="D136" s="195" t="n"/>
      <c r="E136" s="195" t="n"/>
      <c r="F136" s="196" t="n"/>
      <c r="G136" s="132" t="n"/>
      <c r="H136" s="139" t="n"/>
    </row>
    <row r="137" ht="318.75" customFormat="1" customHeight="1" s="10">
      <c r="A137" s="68" t="inlineStr">
        <is>
          <t>Examen Standard = base CCAM + forfait technique maximum + modificateur + forfait archivage numérique + médicament ou agent diagnostic
Lister les visites</t>
        </is>
      </c>
      <c r="B137" s="14" t="inlineStr">
        <is>
          <t>Par examen</t>
        </is>
      </c>
      <c r="C137" s="14" t="inlineStr">
        <is>
          <t>surcoût</t>
        </is>
      </c>
      <c r="D137" s="11" t="n"/>
      <c r="E137" s="24" t="n"/>
      <c r="F137" s="21">
        <f>D137*E137</f>
        <v/>
      </c>
      <c r="G137" s="131">
        <f>F137*$B$10</f>
        <v/>
      </c>
      <c r="H137" s="139" t="inlineStr">
        <is>
          <t xml:space="preserve">Le forfait technique s’applique uniquement aux examens réalisés en scanner, IRM et TEP.
Un examen standard ne peut pas être financé uniquement sur la base de la CCAM mais on doit lui associer le forfait technique lorsqu’il existe ainsi que les modificateurs et les suppléments et un forfait archivage numérique pour les besoins de la recherche 
- Ce mode de facturation est celui utilisé dans la pratique courante, le « forfait technique » couvrant les frais d’amortissement et de fonctionnement chargés de l’équipement d’imagerie, et « l’acte CCAM » la part intellectuelle d’interprétation de l’acte.
Dans le cadre de la convention  unique, seul le forfait technique le plus élevé est applicable pour tous les examens réalisés en Scanner, IRM, et TEP. Le médicament ou l'agent diagnostic sont évalués en sus au tarif officine ou au prix négocié si l'agent est réservé à l'usage hospitalier. 
Exemple : IRM  cérébrale standard chez l’adulte 
Acte CCAM : 69  € + FT 197,91 € + supplément archivage 0,75€  = 267,66 €  + Agent diagnostic  77,75 € (au prorata)  (Pas de modificateur applicable dans ce cas)
TDM TAP : doivent être appliqués pour un examen sur 2 zones anatomiques et plus consécutives = 1,15 forfait technique (abattement de 85% du 2ème forfait technique). 
TDM TAP + CRANE réalisés séparément : un deuxième forfait technique plein doit être appliqué pour le crâne. 
Ce mode de calcul ne s’applique pas aux plateformes de recherche en imagerie dont les principes de facturation ne reposent pas sur la CCAM car elles sont hors parcours de soins et peuvent en conséquence facturer en dehors des règles de la CPAM.
Des tâches de post traitement (reconstructions, mesures…)  peuvent être demandées dans le cadre d’un examen standard. Dans ce cas, Il faut rajouter du temps médical en « acte non nomenclaturé » fléché sur l’imagerie (exemple: protocole d’exploration en imagerie pneumologique ou cardiologique demandant l’extraction de calculs fonctionnels...). 
Publication sur les forfaits techniques: cf publication document  JORF joint sur le site du CNCR. </t>
        </is>
      </c>
    </row>
    <row r="138" ht="216.75" customFormat="1" customHeight="1" s="10">
      <c r="A138" s="68" t="inlineStr">
        <is>
          <t>Examen plus long que le standard ou avec séquences ou incidences supplémentaires ou avec post-traitement spécifique  = (base CCAM + forfait technique maximum + modificateur) x temps supplémentaire/durée moyenne + médicament ou agent diagnostic
Lister les visites</t>
        </is>
      </c>
      <c r="B138" s="14" t="inlineStr">
        <is>
          <t>Par examen</t>
        </is>
      </c>
      <c r="C138" s="14" t="inlineStr">
        <is>
          <t>surcoût</t>
        </is>
      </c>
      <c r="D138" s="11" t="n"/>
      <c r="E138" s="24" t="n"/>
      <c r="F138" s="21">
        <f>D138*E138</f>
        <v/>
      </c>
      <c r="G138" s="131">
        <f>F138*$B$10</f>
        <v/>
      </c>
      <c r="H138" s="152" t="inlineStr">
        <is>
          <t xml:space="preserve">Afin de compenser le temps supplémentaire, il est essentiel d’appliquer sur le surcoût (Acte + FT + modificateurs) un coefficient correspondant à 1 + le  ratio  temps supplémentaire par rapport à la durée moyenne d’un examen réalisé en soin courant pour une indication donnée.
Pour exemple :
IRM cérébrale chez l’adulte
- temps d’examen normal 30 minutes : Acte CCAM : 69 € + FT 203,02€ = 272,02€  + Agent diagnostic 78,04€ (pas de modificateur applicable dans ce cas)
- Si l’étude nécessite une séquence supplémentaire qui va allonger l’examen de 10 minutes, le coefficient est de 1,3 et doit être appliqué sur 272,02€  c'est-à-dire 353,62€ + Agent diagnostic 78,04€
Le médicament ou l'agent diagnostic  sont évalués au tarif officine ou au  prix négocié si l'agent est réservé à l'usage hospitalier. 
Dans le cadre du contrat unique, seul le forfait technique le plus élevé est applicable pour tous les examens réalisés en Scanner, IRM, et TEP.
Ce mode de calcul ne s’applique pas aux plateformes de recherche en imagerie dont les principes de facturation ne reposent pas sur la CCAM car elles sont hors parcours de soins et peuvent en conséquence facturer en dehors des règles de la CPAM.
</t>
        </is>
      </c>
    </row>
    <row r="139" ht="21.75" customFormat="1" customHeight="1" s="10">
      <c r="A139" s="231" t="inlineStr">
        <is>
          <t>Actes non nomenclaturés</t>
        </is>
      </c>
      <c r="B139" s="195" t="n"/>
      <c r="C139" s="195" t="n"/>
      <c r="D139" s="195" t="n"/>
      <c r="E139" s="195" t="n"/>
      <c r="F139" s="196" t="n"/>
      <c r="G139" s="132" t="n"/>
      <c r="H139" s="139" t="n"/>
    </row>
    <row r="140" ht="30" customFormat="1" customHeight="1" s="10">
      <c r="A140" s="99" t="inlineStr">
        <is>
          <t>Examen sans base CCAM = frais réel
Lister les visites</t>
        </is>
      </c>
      <c r="B140" s="12" t="inlineStr">
        <is>
          <t>Par examen</t>
        </is>
      </c>
      <c r="C140" s="20" t="inlineStr">
        <is>
          <t>surcoût</t>
        </is>
      </c>
      <c r="D140" s="35" t="inlineStr">
        <is>
          <t xml:space="preserve">frais réel </t>
        </is>
      </c>
      <c r="E140" s="24" t="n"/>
      <c r="F140" s="21">
        <f>IFERROR(D140*E140, 0)</f>
        <v/>
      </c>
      <c r="G140" s="131">
        <f>F140*$B$10</f>
        <v/>
      </c>
      <c r="H140" s="153" t="inlineStr">
        <is>
          <t>Par examen
Frais réel</t>
        </is>
      </c>
    </row>
    <row r="141" ht="63.75" customFormat="1" customHeight="1" s="10">
      <c r="A141" s="68" t="inlineStr">
        <is>
          <t>Temps médical en sus pour une recherche complexe en imagerie demandant un circuit du patient hors prise en charge standard - 1 h de temps médical</t>
        </is>
      </c>
      <c r="B141" s="9" t="inlineStr">
        <is>
          <t xml:space="preserve">Par centre </t>
        </is>
      </c>
      <c r="C141" s="13" t="inlineStr">
        <is>
          <t>coût</t>
        </is>
      </c>
      <c r="D141" s="35" t="n">
        <v>116.4</v>
      </c>
      <c r="E141" s="32" t="n"/>
      <c r="F141" s="21">
        <f>D141*E141</f>
        <v/>
      </c>
      <c r="G141" s="117">
        <f>F141</f>
        <v/>
      </c>
      <c r="H141" s="153" t="inlineStr">
        <is>
          <t xml:space="preserve">Le temps médical est à prendre en compte dans le cas de recherches complexes en Imagerie car nécessaire à l’organisation des examens, leur programmation et la coordination médicale à la recherche. Ce temps médical est indépendant des inclusions réelles et de la réalisation effective d’examens car situé en amont de ces phases.
</t>
        </is>
      </c>
    </row>
    <row r="142" ht="165.75" customFormat="1" customHeight="1" s="10">
      <c r="A142" s="68" t="inlineStr">
        <is>
          <t>Temps TEC en sus pour une recherche complexe en Imagerie demandant un circuit du patient hors prise en charge standard - 4 h de temps TEC</t>
        </is>
      </c>
      <c r="B142" s="9" t="inlineStr">
        <is>
          <t xml:space="preserve">Par centre </t>
        </is>
      </c>
      <c r="C142" s="13" t="inlineStr">
        <is>
          <t>coût</t>
        </is>
      </c>
      <c r="D142" s="35" t="n">
        <v>230</v>
      </c>
      <c r="E142" s="32" t="n"/>
      <c r="F142" s="21">
        <f>D142*E142</f>
        <v/>
      </c>
      <c r="G142" s="117">
        <f>F142</f>
        <v/>
      </c>
      <c r="H142" s="153" t="inlineStr">
        <is>
          <t>Pour toute recherche nécessitant un investissement particulier ou une expertise spécifique en Imagerie, cette ligne doit être utilisée et est justifiée entre autres par : 
- une fréquence plus élevée qu’un suivi standard (ex: un suivi en imagerie de coupe IRM ou TDM d'une pathologie neurologique ou oncologique dans le cadre d'un protocole requiert une fréquence plus élevée que celle recommandée en soins courants : ceci modifie le circuit de prise de rdv et la disponibilité de la machine pour les autres patients = mise à disposition de plages spécifiques au projet).
- la programmation d’acquisitions d’imagerie complexes différentes de la pratique courante, la programmation de séquences d’imagerie complexes et un contrôle qualité longitudinal (fantômes, Dummy run,....).
Exemple: justification du temps TEC par son intervention sur des circuits, dans la planification, le paramétrage et le test de séquences particulières.
Seuls sont concernés les recherches complexes en imagerie.</t>
        </is>
      </c>
    </row>
    <row r="143" ht="45" customFormat="1" customHeight="1" s="10">
      <c r="A143" s="68" t="inlineStr">
        <is>
          <t>Temps TEC  monitoring avec promoteur/CRO : préparation des dossiers patients,  visite sur site - 2h30 de temps TEC par visite de monitoring</t>
        </is>
      </c>
      <c r="B143" s="9" t="inlineStr">
        <is>
          <t>Par monitoring
Si applicable</t>
        </is>
      </c>
      <c r="C143" s="13" t="inlineStr">
        <is>
          <t>coût</t>
        </is>
      </c>
      <c r="D143" s="35" t="n">
        <v>143.75</v>
      </c>
      <c r="E143" s="32" t="n"/>
      <c r="F143" s="21">
        <f>D143*E143</f>
        <v/>
      </c>
      <c r="G143" s="131" t="inlineStr">
        <is>
          <t>Au prorata</t>
        </is>
      </c>
      <c r="H143" s="153" t="inlineStr">
        <is>
          <t xml:space="preserve">Monitoring spécifique au service d'imagerie ou de médecine nucléaire. A évaluer au prorata en fonction du nombre de visites de monitoring effectuées.
La fréquence est actuellement peu élevée mais cela permet de prévoir ce monitoring si applicable. </t>
        </is>
      </c>
    </row>
    <row r="144" ht="63.75" customFormat="1" customHeight="1" s="10">
      <c r="A144" s="68" t="inlineStr">
        <is>
          <t>Temps TEC pour queries - 15 min de temps TEC  par examen
(si applicable)</t>
        </is>
      </c>
      <c r="B144" s="9" t="inlineStr">
        <is>
          <t>Par examen</t>
        </is>
      </c>
      <c r="C144" s="13" t="inlineStr">
        <is>
          <t>coût</t>
        </is>
      </c>
      <c r="D144" s="35" t="n">
        <v>14.37</v>
      </c>
      <c r="E144" s="32" t="n"/>
      <c r="F144" s="21">
        <f>D144*E144</f>
        <v/>
      </c>
      <c r="G144" s="131" t="inlineStr">
        <is>
          <t>Au prorata</t>
        </is>
      </c>
      <c r="H144" s="153" t="inlineStr">
        <is>
          <t xml:space="preserve">La prévision systématique de ce temps TEC par examen permet de couvrir la résolution éventuelle de plusieurs queries pour certains examens et l'absence de queries dans d'autres cas.
Cette ligne concerne uniquement l'imagerie, car ces données sont générées par un portail d'imagerie, distinctes du CRF.
</t>
        </is>
      </c>
    </row>
    <row r="145" ht="60" customFormat="1" customHeight="1" s="10">
      <c r="A145" s="68" t="inlineStr">
        <is>
          <t>Temps TEC pour la gestion des  prélèvements réalisés sous imagerie - 1 h/prélévement (si non pris en compte dans la partie anatomo-pathologie).
Lister les visites</t>
        </is>
      </c>
      <c r="B145" s="9" t="inlineStr">
        <is>
          <t>Par prélèvement
Si applicable</t>
        </is>
      </c>
      <c r="C145" s="13" t="inlineStr">
        <is>
          <t>coût</t>
        </is>
      </c>
      <c r="D145" s="35" t="n">
        <v>57.5</v>
      </c>
      <c r="E145" s="32" t="n"/>
      <c r="F145" s="21">
        <f>D145*E145</f>
        <v/>
      </c>
      <c r="G145" s="131" t="inlineStr">
        <is>
          <t>Au prorata</t>
        </is>
      </c>
      <c r="H145" s="153" t="inlineStr">
        <is>
          <t>Biopsies et prélèvements réalisés dans le service d'imagerie</t>
        </is>
      </c>
    </row>
    <row r="146" ht="51" customFormat="1" customHeight="1" s="10">
      <c r="A146" s="68" t="inlineStr">
        <is>
          <t>Temps TEC saisie CRF - 15 min/5 pages de CRF complétées</t>
        </is>
      </c>
      <c r="B146" s="9" t="inlineStr">
        <is>
          <t>5 pages CRF complétées</t>
        </is>
      </c>
      <c r="C146" s="13" t="inlineStr">
        <is>
          <t>coût</t>
        </is>
      </c>
      <c r="D146" s="35" t="n">
        <v>14.37</v>
      </c>
      <c r="E146" s="32" t="n"/>
      <c r="F146" s="21">
        <f>D146*E146</f>
        <v/>
      </c>
      <c r="G146" s="131" t="inlineStr">
        <is>
          <t>Au prorata</t>
        </is>
      </c>
      <c r="H146" s="153" t="inlineStr">
        <is>
          <t xml:space="preserve">Cette ligne concerne les données saisies par le service d'imagerie dans le CRF électronique. 
Le temps de saisie de cette ligne, spécifique à l'imagerie, est distinct de celui de la ligne 42, qui ne concerne pas l'imagerie.
</t>
        </is>
      </c>
    </row>
    <row r="147" ht="51" customFormat="1" customHeight="1" s="10">
      <c r="A147" s="68" t="inlineStr">
        <is>
          <t>Temps médical :  tâches de post-traitement (reconstructions, mesures…) - 30min temps médical
Lister les visites</t>
        </is>
      </c>
      <c r="B147" s="9" t="inlineStr">
        <is>
          <t>Par examen
Si applicable</t>
        </is>
      </c>
      <c r="C147" s="13" t="inlineStr">
        <is>
          <t>coût</t>
        </is>
      </c>
      <c r="D147" s="35" t="n">
        <v>58.2</v>
      </c>
      <c r="E147" s="32" t="n"/>
      <c r="F147" s="21">
        <f>D147*E147</f>
        <v/>
      </c>
      <c r="G147" s="131">
        <f>F147*$B$10</f>
        <v/>
      </c>
      <c r="H147" s="153" t="inlineStr">
        <is>
          <t>Les tâches de post-traitement ( reconstructions, mesures…) doivent être dissociées systématiquement de la partie acquisition (exemple: protocole d’exploration en imagerie pneumologique ou cardiologique demandant l’extraction de calculs fonctionnels...). A prendre en compte dans le cas de la radiothérapie effectuée en dehors de la pratique courante.</t>
        </is>
      </c>
    </row>
    <row r="148" ht="204" customFormat="1" customHeight="1" s="2">
      <c r="A148" s="68" t="inlineStr">
        <is>
          <t>Temps médical pour expertise en imagerie à la demande du promoteur et dans le cadre du protocole : savoir faire, investissement intellectuel, forfait intellectuel selon un barème et des indicateurs qualité = tous les examens y compris les examens réalisés à l'extérieur - 1 h de temps médical
Lister les visites</t>
        </is>
      </c>
      <c r="B148" s="9" t="inlineStr">
        <is>
          <t>Par examen
Si applicable</t>
        </is>
      </c>
      <c r="C148" s="13" t="inlineStr">
        <is>
          <t>coût</t>
        </is>
      </c>
      <c r="D148" s="35" t="n">
        <v>116.4</v>
      </c>
      <c r="E148" s="32" t="n"/>
      <c r="F148" s="21">
        <f>D148*E148</f>
        <v/>
      </c>
      <c r="G148" s="131">
        <f>F148*$B$10</f>
        <v/>
      </c>
      <c r="H148" s="153" t="inlineStr">
        <is>
          <t>Ces éléments concernent un investissement intellectuel, la mise en œuvre de savoirs spécialisés de nature scientifique ou technique déployés par les radiologues et médecins nucléaires pour garantir la qualité optimale des examens réalisés en recherche – regroupés sous le terme d’expertise radiologique. 
A titre indicatif, l’imagerie propose de dupliquer la ligne selon la complexité du type de relecture et/ou d'acte demandé par le promoteur:
- Bilan radiologique, échographie, ostéodensitométrie = 1h temps médical
- IRM, Scanner, TEP, et Scintigraphie; correspond à la production de données simples exigées par le protocole par exemple critères RECIST 1.1 = 1h temps médical                                                                 
- IRM, Scanner, TEP, Scintigraphie  ; correspond à la production de données complexes exigées par le protocole différentes de la pratique courante - par exemple criètes iRECIST, Critères volumiques,  ...)= 2h temps médical 
- Biopsies, ou gestes de Radiologie interventionnelle exigés par le protocole, en dehors des conditions courantes de soins : 3H de temps médical
Ce barème ne concerne pas les actes d'imagerie interventionnelle lourds (plus long que la pratique habituelle) pour lesquels le tarif doit être négocié entre le promoteur et le radiologue investigateur.
Ces actes supplémentaires ne pourront être réalisés qu’à la condition d’un financement.</t>
        </is>
      </c>
      <c r="I148" s="10" t="n"/>
      <c r="J148" s="10" t="n"/>
      <c r="K148" s="10" t="n"/>
      <c r="L148" s="10" t="n"/>
      <c r="M148" s="10" t="n"/>
      <c r="N148" s="10" t="n"/>
      <c r="O148" s="10" t="n"/>
      <c r="P148" s="10" t="n"/>
      <c r="Q148" s="10" t="n"/>
      <c r="R148" s="10" t="n"/>
      <c r="S148" s="10" t="n"/>
      <c r="T148" s="10" t="n"/>
      <c r="U148" s="10" t="n"/>
      <c r="V148" s="10" t="n"/>
      <c r="W148" s="10" t="n"/>
      <c r="X148" s="10" t="n"/>
      <c r="Y148" s="10" t="n"/>
      <c r="Z148" s="10" t="n"/>
      <c r="AA148" s="10" t="n"/>
      <c r="AB148" s="10" t="n"/>
      <c r="AC148" s="10" t="n"/>
      <c r="AD148" s="10" t="n"/>
      <c r="AE148" s="10" t="n"/>
      <c r="AF148" s="10" t="n"/>
      <c r="AG148" s="10" t="n"/>
      <c r="AH148" s="10" t="n"/>
      <c r="AI148" s="10" t="n"/>
      <c r="AJ148" s="10" t="n"/>
      <c r="AK148" s="10" t="n"/>
      <c r="AL148" s="10" t="n"/>
      <c r="AM148" s="10" t="n"/>
      <c r="AN148" s="10" t="n"/>
      <c r="AO148" s="10" t="n"/>
      <c r="AP148" s="10" t="n"/>
      <c r="AQ148" s="10" t="n"/>
      <c r="AR148" s="10" t="n"/>
      <c r="AS148" s="10" t="n"/>
      <c r="AT148" s="10" t="n"/>
      <c r="AU148" s="10" t="n"/>
      <c r="AV148" s="10" t="n"/>
      <c r="AW148" s="10" t="n"/>
      <c r="AX148" s="10" t="n"/>
      <c r="AY148" s="10" t="n"/>
      <c r="AZ148" s="10" t="n"/>
      <c r="BA148" s="10" t="n"/>
      <c r="BB148" s="10" t="n"/>
      <c r="BC148" s="10" t="n"/>
      <c r="BD148" s="10" t="n"/>
      <c r="BE148" s="10" t="n"/>
      <c r="BF148" s="10" t="n"/>
      <c r="BG148" s="10" t="n"/>
      <c r="BH148" s="10" t="n"/>
      <c r="BI148" s="10" t="n"/>
      <c r="BJ148" s="10" t="n"/>
      <c r="BK148" s="10" t="n"/>
      <c r="BL148" s="10" t="n"/>
      <c r="BM148" s="10" t="n"/>
      <c r="BN148" s="10" t="n"/>
      <c r="BO148" s="10" t="n"/>
      <c r="BP148" s="10" t="n"/>
      <c r="BQ148" s="10" t="n"/>
      <c r="BR148" s="10" t="n"/>
      <c r="BS148" s="10" t="n"/>
      <c r="BT148" s="10" t="n"/>
      <c r="BU148" s="10" t="n"/>
      <c r="BV148" s="10" t="n"/>
      <c r="BW148" s="10" t="n"/>
      <c r="BX148" s="10" t="n"/>
      <c r="BY148" s="10" t="n"/>
      <c r="BZ148" s="10" t="n"/>
      <c r="CA148" s="10" t="n"/>
      <c r="CB148" s="10" t="n"/>
      <c r="CC148" s="10" t="n"/>
      <c r="CD148" s="10" t="n"/>
      <c r="CE148" s="10" t="n"/>
      <c r="CF148" s="10" t="n"/>
      <c r="CG148" s="10" t="n"/>
      <c r="CH148" s="10" t="n"/>
      <c r="CI148" s="10" t="n"/>
      <c r="CJ148" s="10" t="n"/>
      <c r="CK148" s="10" t="n"/>
      <c r="CL148" s="10" t="n"/>
      <c r="CM148" s="10" t="n"/>
      <c r="CN148" s="10" t="n"/>
      <c r="CO148" s="10" t="n"/>
      <c r="CP148" s="10" t="n"/>
      <c r="CQ148" s="10" t="n"/>
      <c r="CR148" s="10" t="n"/>
      <c r="CS148" s="10" t="n"/>
      <c r="CT148" s="10" t="n"/>
      <c r="CU148" s="10" t="n"/>
      <c r="CV148" s="10" t="n"/>
      <c r="CW148" s="10" t="n"/>
      <c r="CX148" s="10" t="n"/>
      <c r="CY148" s="10" t="n"/>
      <c r="CZ148" s="10" t="n"/>
      <c r="DA148" s="10" t="n"/>
      <c r="DB148" s="10" t="n"/>
      <c r="DC148" s="10" t="n"/>
      <c r="DD148" s="10" t="n"/>
      <c r="DE148" s="10" t="n"/>
      <c r="DF148" s="10" t="n"/>
      <c r="DG148" s="10" t="n"/>
      <c r="DH148" s="10" t="n"/>
      <c r="DI148" s="10" t="n"/>
      <c r="DJ148" s="10" t="n"/>
      <c r="DK148" s="10" t="n"/>
      <c r="DL148" s="10" t="n"/>
      <c r="DM148" s="10" t="n"/>
      <c r="DN148" s="10" t="n"/>
      <c r="DO148" s="10" t="n"/>
      <c r="DP148" s="10" t="n"/>
      <c r="DQ148" s="10" t="n"/>
      <c r="DR148" s="10" t="n"/>
      <c r="DS148" s="10" t="n"/>
      <c r="DT148" s="10" t="n"/>
      <c r="DU148" s="10" t="n"/>
      <c r="DV148" s="10" t="n"/>
      <c r="DW148" s="10" t="n"/>
      <c r="DX148" s="10" t="n"/>
      <c r="DY148" s="10" t="n"/>
      <c r="DZ148" s="10" t="n"/>
      <c r="EA148" s="10" t="n"/>
      <c r="EB148" s="10" t="n"/>
      <c r="EC148" s="10" t="n"/>
      <c r="ED148" s="10" t="n"/>
      <c r="EE148" s="10" t="n"/>
      <c r="EF148" s="10" t="n"/>
      <c r="EG148" s="10" t="n"/>
      <c r="EH148" s="10" t="n"/>
      <c r="EI148" s="10" t="n"/>
      <c r="EJ148" s="10" t="n"/>
      <c r="EK148" s="10" t="n"/>
      <c r="EL148" s="10" t="n"/>
      <c r="EM148" s="10" t="n"/>
      <c r="EN148" s="10" t="n"/>
      <c r="EO148" s="10" t="n"/>
      <c r="EP148" s="10" t="n"/>
      <c r="EQ148" s="10" t="n"/>
      <c r="ER148" s="10" t="n"/>
      <c r="ES148" s="10" t="n"/>
      <c r="ET148" s="10" t="n"/>
      <c r="EU148" s="10" t="n"/>
      <c r="EV148" s="10" t="n"/>
      <c r="EW148" s="10" t="n"/>
      <c r="EX148" s="10" t="n"/>
      <c r="EY148" s="10" t="n"/>
    </row>
    <row r="149" ht="28.5" customFormat="1" customHeight="1" s="10">
      <c r="A149" s="226" t="inlineStr">
        <is>
          <t>PHARMACIE - RADIOPHARMACIE - DISPOSITIF MEDICAL</t>
        </is>
      </c>
      <c r="B149" s="195" t="n"/>
      <c r="C149" s="195" t="n"/>
      <c r="D149" s="195" t="n"/>
      <c r="E149" s="195" t="n"/>
      <c r="F149" s="196" t="n"/>
      <c r="G149" s="128" t="n"/>
      <c r="H149" s="139" t="n"/>
    </row>
    <row r="150" ht="89.25" customFormat="1" customHeight="1" s="10">
      <c r="A150" s="68" t="inlineStr">
        <is>
          <t>Forfait pharmaceutique ou radiopharmaceutique 1ère année hors coordination</t>
        </is>
      </c>
      <c r="B150" s="9" t="inlineStr">
        <is>
          <t xml:space="preserve">Par centre </t>
        </is>
      </c>
      <c r="C150" s="13" t="inlineStr">
        <is>
          <t>coût</t>
        </is>
      </c>
      <c r="D150" s="71" t="inlineStr">
        <is>
          <t>niveau 1: 600€ 
niveau 2:1200€
niveau 3:1800€</t>
        </is>
      </c>
      <c r="E150" s="32" t="n"/>
      <c r="F150" s="35">
        <f>IFERROR(D150*E150, 0)</f>
        <v/>
      </c>
      <c r="G150" s="117">
        <f>F150</f>
        <v/>
      </c>
      <c r="H150" s="139" t="inlineStr">
        <is>
          <t>Ce forfait correspond aux prestations suivantes:
Visite de sélection si applicable 
Evaluation de la faisabilité + Revue de la grille de surcoûts pharmacie  hors coordination
mise en place de la recherche en présence du pharmacien
rédaction de procédure écrites concernant la recherche
Définition de l'organisation et rédaction des documents du circuit pharmaceutique: ordonnance, formulaires de comptabilité, fiches de traçabilité, etc…</t>
        </is>
      </c>
    </row>
    <row r="151" ht="30" customFormat="1" customHeight="1" s="53">
      <c r="A151" s="68" t="inlineStr">
        <is>
          <t>Forfait pharmaceutique coordination (centre coordonnateur)</t>
        </is>
      </c>
      <c r="B151" s="9" t="inlineStr">
        <is>
          <t>Par centre</t>
        </is>
      </c>
      <c r="C151" s="13" t="inlineStr">
        <is>
          <t xml:space="preserve">coût   </t>
        </is>
      </c>
      <c r="D151" s="11" t="n">
        <v>400</v>
      </c>
      <c r="E151" s="56" t="n"/>
      <c r="F151" s="35">
        <f>D151*E151</f>
        <v/>
      </c>
      <c r="G151" s="117">
        <f>F151</f>
        <v/>
      </c>
      <c r="H151" s="139" t="inlineStr">
        <is>
          <t>Etablissement de la grille de surcoûts par la  pharmacie du centre coordonnateur et revue des avenants</t>
        </is>
      </c>
    </row>
    <row r="152" ht="45" customFormat="1" customHeight="1" s="10">
      <c r="A152" s="68" t="inlineStr">
        <is>
          <t>Forfait pharmaceutique ou radiopharmaceutique année supplémentaire
Au prorata du nombre d'années supplémentaires</t>
        </is>
      </c>
      <c r="B152" s="9" t="inlineStr">
        <is>
          <t xml:space="preserve">Par centre et par année </t>
        </is>
      </c>
      <c r="C152" s="13" t="inlineStr">
        <is>
          <t>coût</t>
        </is>
      </c>
      <c r="D152" s="71" t="inlineStr">
        <is>
          <t>niveau 1: 250€ 
niveau 2:500€
niveau 3:750€</t>
        </is>
      </c>
      <c r="E152" s="32" t="n"/>
      <c r="F152" s="35">
        <f>IFERROR(D152*E152, 0)</f>
        <v/>
      </c>
      <c r="G152" s="117" t="inlineStr">
        <is>
          <t>Au prorata</t>
        </is>
      </c>
      <c r="H152" s="139" t="inlineStr">
        <is>
          <t xml:space="preserve">Ce forfait est applicable jusqu'à la fin de l'activité pharmaceutique. </t>
        </is>
      </c>
    </row>
    <row r="153" ht="89.25" customFormat="1" customHeight="1" s="10">
      <c r="A153" s="68" t="inlineStr">
        <is>
          <t>Réception/livraison</t>
        </is>
      </c>
      <c r="B153" s="232" t="inlineStr">
        <is>
          <t>Par reception/ livraison</t>
        </is>
      </c>
      <c r="C153" s="13" t="inlineStr">
        <is>
          <t>coût</t>
        </is>
      </c>
      <c r="D153" s="74" t="n">
        <v>58.2</v>
      </c>
      <c r="E153" s="32" t="n"/>
      <c r="F153" s="35">
        <f>D153*E153</f>
        <v/>
      </c>
      <c r="G153" s="123" t="inlineStr">
        <is>
          <t>Au prorata</t>
        </is>
      </c>
      <c r="H153" s="139" t="inlineStr">
        <is>
          <t xml:space="preserve">Toutes les réceptions sont comptabilisées le renvoi de carton consigné est interprété comme une réception
Acte basé sur taux horaire pharmacien (30min)
L'activité correspond au temps nécessaire et comprend:  la réception du colis, contrôle condition de transport, gestion traceurs si applicable + gestion quarantaine en cas d'excursion pendant le transport , vérification adéquation bordereau livraison marchandise,  rangement des traitements en zone appropriée, envoi documents demandés, réclamation certificat libération lot si non reçu etc... </t>
        </is>
      </c>
    </row>
    <row r="154" ht="25.5" customFormat="1" customHeight="1" s="10">
      <c r="A154" s="68" t="inlineStr">
        <is>
          <t>Retour colis consignés</t>
        </is>
      </c>
      <c r="B154" s="233" t="inlineStr">
        <is>
          <t>Par retour</t>
        </is>
      </c>
      <c r="C154" s="13" t="inlineStr">
        <is>
          <t>coût</t>
        </is>
      </c>
      <c r="D154" s="74" t="n">
        <v>29.1</v>
      </c>
      <c r="E154" s="56" t="n"/>
      <c r="F154" s="35">
        <f>D154*E154</f>
        <v/>
      </c>
      <c r="G154" s="117">
        <f>F154</f>
        <v/>
      </c>
      <c r="H154" s="139" t="inlineStr">
        <is>
          <t>Acte basé sur taux horaire pharmacien (15 minutes)
Applicable y compris si colis perdu ou endommagé</t>
        </is>
      </c>
    </row>
    <row r="155" ht="51" customFormat="1" customHeight="1" s="53">
      <c r="A155" s="68" t="inlineStr">
        <is>
          <t>Stockage - Conditions de conservation (hors cryoconservation)</t>
        </is>
      </c>
      <c r="B155" s="233" t="inlineStr">
        <is>
          <t xml:space="preserve">par année </t>
        </is>
      </c>
      <c r="C155" s="13" t="inlineStr">
        <is>
          <t>coût</t>
        </is>
      </c>
      <c r="D155" s="74" t="n">
        <v>50</v>
      </c>
      <c r="E155" s="56" t="n"/>
      <c r="F155" s="35">
        <f>D155*E155</f>
        <v/>
      </c>
      <c r="G155" s="117">
        <f>F155</f>
        <v/>
      </c>
      <c r="H155" s="139" t="inlineStr">
        <is>
          <t>Duplication de la ligne par zone de stockage
Exemple: 1 recherche incluant 2 médicaments expérimentaux à température ambiante + 1 entre 2 et 8°C
=&gt; 2 lignes de facturation 
- Coût par année calendaire</t>
        </is>
      </c>
    </row>
    <row r="156" ht="19.5" customFormat="1" customHeight="1" s="53">
      <c r="A156" s="68" t="inlineStr">
        <is>
          <t>Cryoconservation</t>
        </is>
      </c>
      <c r="B156" s="233" t="inlineStr">
        <is>
          <t xml:space="preserve">Par année  </t>
        </is>
      </c>
      <c r="C156" s="13" t="inlineStr">
        <is>
          <t>coût</t>
        </is>
      </c>
      <c r="D156" s="74" t="n">
        <v>300</v>
      </c>
      <c r="E156" s="56" t="n"/>
      <c r="F156" s="35">
        <f>D156*E156</f>
        <v/>
      </c>
      <c r="G156" s="117">
        <f>F156</f>
        <v/>
      </c>
      <c r="H156" s="139" t="inlineStr">
        <is>
          <t xml:space="preserve"> - Coût par année calendaire</t>
        </is>
      </c>
    </row>
    <row r="157" ht="89.25" customFormat="1" customHeight="1" s="10">
      <c r="A157" s="68" t="inlineStr">
        <is>
          <t>Dispensation nominative 
Lister les visites</t>
        </is>
      </c>
      <c r="B157" s="9" t="inlineStr">
        <is>
          <t xml:space="preserve">Par ligne de dispensation </t>
        </is>
      </c>
      <c r="C157" s="13" t="inlineStr">
        <is>
          <t>coût</t>
        </is>
      </c>
      <c r="D157" s="74" t="n">
        <v>87.3</v>
      </c>
      <c r="E157" s="32" t="n"/>
      <c r="F157" s="35">
        <f>D157*E157</f>
        <v/>
      </c>
      <c r="G157" s="117">
        <f>F157*$B$10</f>
        <v/>
      </c>
      <c r="H157" s="139" t="inlineStr">
        <is>
          <t xml:space="preserve">La facturation se fera par ligne de dispensation si une ordonnance comporte plusieurs produits et/ou dosage.
Ce forfait comprend : Analyse pharmaceutique et validation de l’ordonnance, préparation éventuelle des doses à administrer, délivrance des unités thérapeutiques, conseil patient, gestion des retours / patient durant la recherche.
Concernant les DM : une ligne de dispensation correspond à un système complet.
</t>
        </is>
      </c>
    </row>
    <row r="158" ht="102" customFormat="1" customHeight="1" s="53">
      <c r="A158" s="68" t="inlineStr">
        <is>
          <t>Envoi de produits expérimentaux ou auxiliaires au domicile ou lieu de vie du patient ou à un représentant du patient</t>
        </is>
      </c>
      <c r="B158" s="9" t="inlineStr">
        <is>
          <t>Par envoi</t>
        </is>
      </c>
      <c r="C158" s="13" t="inlineStr">
        <is>
          <t xml:space="preserve">coût </t>
        </is>
      </c>
      <c r="D158" s="11" t="n">
        <v>232.8</v>
      </c>
      <c r="E158" s="56" t="n"/>
      <c r="F158" s="35">
        <f>D158*E158</f>
        <v/>
      </c>
      <c r="G158" s="117">
        <f>F158*$B$10</f>
        <v/>
      </c>
      <c r="H158" s="139" t="inlineStr">
        <is>
          <t>Acte basé sur taux horaire pharmacien (2h)
Le promoteur est responsable du choix et de la qualification du transporteur, de l'organisation de l'enlèvement et de la livraison.
Il prend en charge financièrement les frais correspondants et fournit une procédure détaillée décrivant les rôles et responsabilité de chacun des intervenants ainsi que le processus mis en œuvre.
Avant toute mise en œuvre, la faisabilité du circuit pharmaceutique avec transport de produits expérimentaux et/ou auxiliaires au domicile du patient est validée par le pharmacien du centre investigateur</t>
        </is>
      </c>
    </row>
    <row r="159" ht="38.25" customFormat="1" customHeight="1" s="53">
      <c r="A159" s="68" t="inlineStr">
        <is>
          <t>Forfait maintenance pour l'ensemble des appareils/équipements</t>
        </is>
      </c>
      <c r="B159" s="233" t="inlineStr">
        <is>
          <t>par an</t>
        </is>
      </c>
      <c r="C159" s="13" t="inlineStr">
        <is>
          <t>coût</t>
        </is>
      </c>
      <c r="D159" s="11" t="n">
        <v>112.36</v>
      </c>
      <c r="E159" s="56" t="n"/>
      <c r="F159" s="35">
        <f>D159*E159</f>
        <v/>
      </c>
      <c r="G159" s="117">
        <f>F159</f>
        <v/>
      </c>
      <c r="H159" s="154" t="inlineStr">
        <is>
          <t>Contribution à l'utilisation, pour la préparation des médicaments expérimentaux et auxiliaire , des isolateurs, des postes de sécurité mircrobiologique et d'autres types d'équipements de la PUI du centre investigateur</t>
        </is>
      </c>
    </row>
    <row r="160" ht="60" customFormat="1" customHeight="1" s="10">
      <c r="A160" s="99" t="inlineStr">
        <is>
          <t>Reconstitution/préparation de médicaments/assemblage de DM conditions non stériles MED et/ou DM 
Hors MTI et MRP: voir tarifs spécifiques 
(si applicable)</t>
        </is>
      </c>
      <c r="B160" s="234" t="inlineStr">
        <is>
          <t>Par acte</t>
        </is>
      </c>
      <c r="C160" s="13" t="inlineStr">
        <is>
          <t>coût</t>
        </is>
      </c>
      <c r="D160" s="11" t="n">
        <v>75</v>
      </c>
      <c r="E160" s="26" t="n"/>
      <c r="F160" s="35">
        <f>D160*E160</f>
        <v/>
      </c>
      <c r="G160" s="131" t="inlineStr">
        <is>
          <t>Au prorata</t>
        </is>
      </c>
      <c r="H160" s="154" t="inlineStr">
        <is>
          <t xml:space="preserve">On entend par préparation toute préparation pharmaceutique.
</t>
        </is>
      </c>
    </row>
    <row r="161" ht="60" customFormat="1" customHeight="1" s="10">
      <c r="A161" s="99" t="inlineStr">
        <is>
          <t>Reconstitution/préparation de médicaments/assemblage de DM conditions stériles MED et/ou DM 
Hors MTI et MRP: voir tarifs spécifiques 
(si applicable)</t>
        </is>
      </c>
      <c r="B161" s="234" t="inlineStr">
        <is>
          <t>Par acte</t>
        </is>
      </c>
      <c r="C161" s="13" t="inlineStr">
        <is>
          <t>coût</t>
        </is>
      </c>
      <c r="D161" s="11" t="n">
        <v>125</v>
      </c>
      <c r="E161" s="26" t="n"/>
      <c r="F161" s="35">
        <f>D161*E161</f>
        <v/>
      </c>
      <c r="G161" s="131" t="inlineStr">
        <is>
          <t>Au prorata</t>
        </is>
      </c>
      <c r="H161" s="154" t="inlineStr">
        <is>
          <t xml:space="preserve">On entend par préparation toute préparation pharmaceutique.
</t>
        </is>
      </c>
    </row>
    <row r="162" ht="60" customFormat="1" customHeight="1" s="10">
      <c r="A162" s="99" t="inlineStr">
        <is>
          <t>Constitution + décontamination et/ou stérilisation d'un plateau normalisé (DM)
(si applicable)
Lister les visites</t>
        </is>
      </c>
      <c r="B162" s="234" t="inlineStr">
        <is>
          <t>Par plateau</t>
        </is>
      </c>
      <c r="C162" s="13" t="inlineStr">
        <is>
          <t>coût</t>
        </is>
      </c>
      <c r="D162" s="11" t="n">
        <v>125</v>
      </c>
      <c r="E162" s="26" t="n"/>
      <c r="F162" s="35">
        <f>D162*E162</f>
        <v/>
      </c>
      <c r="G162" s="131" t="inlineStr">
        <is>
          <t>Au prorata</t>
        </is>
      </c>
      <c r="H162" s="139" t="inlineStr">
        <is>
          <t>Cette ligne n'est applicable qu'en cas de stérilisation d'un dispositif medical car elle est source de malentendu à la facturation aujourd'hui.
Ligne applicable  car il y a une étape de préparation de plateaux quel que soit l'équipement de préparation (isolateur ou hotte)</t>
        </is>
      </c>
    </row>
    <row r="163" ht="63.75" customFormat="1" customHeight="1" s="53">
      <c r="A163" s="184" t="inlineStr">
        <is>
          <t>Forfait mise en aveugle réalisée par la pharmacie (5h)</t>
        </is>
      </c>
      <c r="B163" s="9" t="inlineStr">
        <is>
          <t>Forfait par recherche</t>
        </is>
      </c>
      <c r="C163" s="9" t="inlineStr">
        <is>
          <t>coût</t>
        </is>
      </c>
      <c r="D163" s="11" t="n">
        <v>600</v>
      </c>
      <c r="E163" s="56" t="n"/>
      <c r="F163" s="35">
        <f>D163*E163</f>
        <v/>
      </c>
      <c r="G163" s="117">
        <f>F163</f>
        <v/>
      </c>
      <c r="H163" s="164" t="inlineStr">
        <is>
          <t>Rédaction du plan de maintien de l'aveugle (site blinding plan), organisation du circuit pour garantir l'aveugle, mise en place de l'ensemble des procédures spécifiques à ce circuit pour l'ensemble des actes pharmaceutiques (y compris étiquetage en aveugle des préparations), maintien de l'aveugle en continu sur la durée totale de l'étude (procédures supplémentaires et donc temps pharmacien ou préparateur supplémentaire)</t>
        </is>
      </c>
    </row>
    <row r="164" ht="36" customFormat="1" customHeight="1" s="10">
      <c r="A164" s="68" t="inlineStr">
        <is>
          <t>Etiquetage ou ré-étiquetage 
(si applicable)</t>
        </is>
      </c>
      <c r="B164" s="9" t="inlineStr">
        <is>
          <t>forfait campagne</t>
        </is>
      </c>
      <c r="C164" s="13" t="inlineStr">
        <is>
          <t>coût</t>
        </is>
      </c>
      <c r="D164" s="74" t="n">
        <v>116.4</v>
      </c>
      <c r="E164" s="32" t="n"/>
      <c r="F164" s="35">
        <f>D164*E164</f>
        <v/>
      </c>
      <c r="G164" s="117" t="inlineStr">
        <is>
          <t>Au prorata</t>
        </is>
      </c>
      <c r="H164" s="164" t="inlineStr">
        <is>
          <t>Acte basé sur taux horaire pharmacien.
Forfait campagne de 1h + 30 minutes par tranche de 10 unités étiquetées
Les montants s'appliquent à toutes les opérations d'étiquetage ou de ré-étiquetage réalisées par la PUI dans le cadre de la recherche : médicaments/ dispositifs expérimentaux/non expérimentaux, fournis ou remboursés par le promoteur</t>
        </is>
      </c>
    </row>
    <row r="165" ht="36" customFormat="1" customHeight="1" s="10">
      <c r="A165" s="68" t="inlineStr">
        <is>
          <t>Etiquetage ou ré-étiquetage 
(si applicable)</t>
        </is>
      </c>
      <c r="B165" s="9" t="inlineStr">
        <is>
          <t>Par tranches de 10 unités étiquetées</t>
        </is>
      </c>
      <c r="C165" s="13" t="inlineStr">
        <is>
          <t>coût</t>
        </is>
      </c>
      <c r="D165" s="74" t="n">
        <v>58.2</v>
      </c>
      <c r="E165" s="32" t="n"/>
      <c r="F165" s="35">
        <f>D165*E165</f>
        <v/>
      </c>
      <c r="G165" s="117" t="inlineStr">
        <is>
          <t>Au prorata</t>
        </is>
      </c>
      <c r="H165" s="225" t="n"/>
    </row>
    <row r="166" ht="39" customFormat="1" customHeight="1" s="10">
      <c r="A166" s="63" t="inlineStr">
        <is>
          <t>Actes IWRS / RTSM /e-CRF
Tous les actes  sont facturés si acceptés et réalisés par la pharmacie</t>
        </is>
      </c>
      <c r="B166" s="233" t="inlineStr">
        <is>
          <t>Par acte</t>
        </is>
      </c>
      <c r="C166" s="13" t="inlineStr">
        <is>
          <t>coût</t>
        </is>
      </c>
      <c r="D166" s="74" t="n">
        <v>11.24</v>
      </c>
      <c r="E166" s="32" t="n"/>
      <c r="F166" s="35">
        <f>D166*E166</f>
        <v/>
      </c>
      <c r="G166" s="123" t="inlineStr">
        <is>
          <t>Au prorata</t>
        </is>
      </c>
      <c r="H166" s="139" t="n"/>
    </row>
    <row r="167" ht="15" customFormat="1" customHeight="1" s="10">
      <c r="A167" s="68" t="inlineStr">
        <is>
          <t xml:space="preserve">Destruction </t>
        </is>
      </c>
      <c r="B167" s="9" t="inlineStr">
        <is>
          <t>Fil de l'eau</t>
        </is>
      </c>
      <c r="C167" s="20" t="inlineStr">
        <is>
          <t>coût</t>
        </is>
      </c>
      <c r="D167" s="74" t="n">
        <v>9</v>
      </c>
      <c r="E167" s="24" t="n"/>
      <c r="F167" s="35">
        <f>D167*E167</f>
        <v/>
      </c>
      <c r="G167" s="131" t="inlineStr">
        <is>
          <t>Au prorata</t>
        </is>
      </c>
      <c r="H167" s="235" t="inlineStr">
        <is>
          <t>Le terme exact est la "mise en destruction". La destruction se fait  par un prestataire de service.
La mise en destruction comprend le regroupement des unités thérapeutiques, leur tri éventuel en tant que déchets, leur stockage temporaire en tant que déchets  leur stockage temporaire en tant que déchets  en attente de l'enlèvement, et l'appel éventuel du transporteur pour acheminement jusqu'au lieu de destruction (société prestataire)
Le surcoût de 8€ est applicable aux ME détruits immédiatement après préparation à la pharmacie (suivent la filière du circuit pharmaceutique classique) en raison de risques toxiques (chimiothérapies injectables notamment), sans monitoring préalable par l'ARC. Il ne s'agit pas de campagnes de destruction.  Ce forfait de 8 euros s’entend  par flacon détrui</t>
        </is>
      </c>
    </row>
    <row r="168" ht="118.5" customFormat="1" customHeight="1" s="10">
      <c r="A168" s="68" t="inlineStr">
        <is>
          <t xml:space="preserve">Mise en destruction  ou retour produits expérimentaux et/ou auxiliaires au promoteur </t>
        </is>
      </c>
      <c r="B168" s="233" t="inlineStr">
        <is>
          <t>Par campagne</t>
        </is>
      </c>
      <c r="C168" s="20" t="inlineStr">
        <is>
          <t>coût</t>
        </is>
      </c>
      <c r="D168" s="74" t="n">
        <v>89.89</v>
      </c>
      <c r="E168" s="24" t="n"/>
      <c r="F168" s="35">
        <f>D168*E168</f>
        <v/>
      </c>
      <c r="G168" s="131" t="inlineStr">
        <is>
          <t>Au prorata</t>
        </is>
      </c>
      <c r="H168" s="225" t="n"/>
    </row>
    <row r="169" ht="51" customFormat="1" customHeight="1" s="10">
      <c r="A169" s="66" t="inlineStr">
        <is>
          <t>Visite de suivi de monitoring</t>
        </is>
      </c>
      <c r="B169" s="233" t="inlineStr">
        <is>
          <t>Par visite</t>
        </is>
      </c>
      <c r="C169" s="7" t="inlineStr">
        <is>
          <t>coût</t>
        </is>
      </c>
      <c r="D169" s="11" t="n">
        <v>100</v>
      </c>
      <c r="E169" s="32" t="n"/>
      <c r="F169" s="35">
        <f>D169*E169</f>
        <v/>
      </c>
      <c r="G169" s="123" t="inlineStr">
        <is>
          <t>Au prorata</t>
        </is>
      </c>
      <c r="H169" s="139" t="inlineStr">
        <is>
          <t>Toutes les visites sont comptabilisées.Cela comprend les annulations de monitorings non justifiées dans un délai &lt;48h (hors grèves des transports)
Actes pharmaceutiques ne varie pas selon la complexité de la recherche.</t>
        </is>
      </c>
    </row>
    <row r="170" ht="39" customFormat="1" customHeight="1" s="10">
      <c r="A170" s="63" t="inlineStr">
        <is>
          <t>Audits (y compris temps de préparation)
Ne sont pas concernées les inspections des autorités compétentes. Non applicable pour les DM</t>
        </is>
      </c>
      <c r="B170" s="233" t="inlineStr">
        <is>
          <t>Par audit</t>
        </is>
      </c>
      <c r="C170" s="13" t="inlineStr">
        <is>
          <t>coût</t>
        </is>
      </c>
      <c r="D170" s="75" t="n">
        <v>400</v>
      </c>
      <c r="E170" s="32" t="n"/>
      <c r="F170" s="35">
        <f>D170*E170</f>
        <v/>
      </c>
      <c r="G170" s="117" t="n"/>
      <c r="H170" s="156" t="inlineStr">
        <is>
          <t>Le forfait est de 400 euros.</t>
        </is>
      </c>
    </row>
    <row r="171" ht="86.25" customFormat="1" customHeight="1" s="53">
      <c r="A171" s="184" t="inlineStr">
        <is>
          <t>Forfait clôture de la recherche</t>
        </is>
      </c>
      <c r="B171" s="9" t="inlineStr">
        <is>
          <t>Forfait par recherche</t>
        </is>
      </c>
      <c r="C171" s="9" t="inlineStr">
        <is>
          <t>coût</t>
        </is>
      </c>
      <c r="D171" s="71" t="inlineStr">
        <is>
          <t>niveau 1: 116,4€ 
niveau 2: 174,6€
niveau 3: 232,8€</t>
        </is>
      </c>
      <c r="E171" s="56" t="n"/>
      <c r="F171" s="35">
        <f>IFERROR(D171*E171, 0)</f>
        <v/>
      </c>
      <c r="G171" s="117">
        <f>F171</f>
        <v/>
      </c>
      <c r="H171" s="164" t="inlineStr">
        <is>
          <t>Acte basé sur le taux horaire pharmacien 
niveau 1: 1h
niveau 2: 1h30
niveau 3: 2h</t>
        </is>
      </c>
    </row>
    <row r="172" ht="51" customFormat="1" customHeight="1" s="10">
      <c r="A172" s="63" t="inlineStr">
        <is>
          <t xml:space="preserve">Traçabilité spécifique
Un seul forfait à 78,65 € pour la totalité de la recherche: MRP, MDS, DMI et stupéfiants
Hors MTI: voir tarif spécifique </t>
        </is>
      </c>
      <c r="B172" s="236" t="inlineStr">
        <is>
          <t xml:space="preserve">Par centre </t>
        </is>
      </c>
      <c r="C172" s="14" t="inlineStr">
        <is>
          <t>coût</t>
        </is>
      </c>
      <c r="D172" s="74" t="n">
        <v>78.65000000000001</v>
      </c>
      <c r="E172" s="24" t="n"/>
      <c r="F172" s="35">
        <f>D172*E172</f>
        <v/>
      </c>
      <c r="G172" s="131">
        <f>F172</f>
        <v/>
      </c>
      <c r="H172" s="139" t="inlineStr">
        <is>
          <t>Applicable pour tout médicament , avec ou sans AMM et tout DM</t>
        </is>
      </c>
    </row>
    <row r="173" ht="89.25" customFormat="1" customHeight="1" s="10">
      <c r="A173" s="63" t="inlineStr">
        <is>
          <t>Référencement et saisie d’un protocole dans un logiciel de prescription (uniquement au cas par cas sur justificatif si reconstitution complexe de produits à la recherche  (par ex. : cytotoxiques, anticorps monoclonaux)</t>
        </is>
      </c>
      <c r="B173" s="233" t="inlineStr">
        <is>
          <t xml:space="preserve">Par centre </t>
        </is>
      </c>
      <c r="C173" s="20" t="inlineStr">
        <is>
          <t>coût</t>
        </is>
      </c>
      <c r="D173" s="74" t="n">
        <v>150</v>
      </c>
      <c r="E173" s="40" t="n"/>
      <c r="F173" s="35">
        <f>D173*E173</f>
        <v/>
      </c>
      <c r="G173" s="131">
        <f>F173</f>
        <v/>
      </c>
      <c r="H173" s="139" t="inlineStr">
        <is>
          <t>Le forfait est applicable par protocole pharmaceutique et ou radiopharmaceutique informatisé à créer dans le logiciel . 
Exemple : 1 essai incluant 3 bras de traitement avec plusieurs associations médicamenteuses par bras : 3 lignes de facturation concernant le coût associé au référencement dans le logiciel de prescription. Produits commercialisés ou non commercialisés car paramétrage dans tous les cas. Exemple : 1 essai avec un dosage pour les enfants et un dosage pour les AJA correspond  à 2 lignes de facturation
Exemple : Pour 1 essai avec escalade de dose  , on comptera un paramétrage par dose</t>
        </is>
      </c>
    </row>
    <row r="174" ht="63.75" customFormat="1" customHeight="1" s="10">
      <c r="A174" s="63" t="inlineStr">
        <is>
          <t>Fourniture de produit de santé
Achat de produit pharmaceutique :  prix d'achat et temps pharmacien (achat, approvisionnement, gestion pharmaceutique du médicament ou DM expérimental ou non expérimental).</t>
        </is>
      </c>
      <c r="B174" s="183" t="inlineStr">
        <is>
          <t>Par ligne de commande
ou par système complet pour un DM</t>
        </is>
      </c>
      <c r="C174" s="19" t="inlineStr">
        <is>
          <t>surcoût</t>
        </is>
      </c>
      <c r="D174" s="57" t="n"/>
      <c r="E174" s="40" t="n"/>
      <c r="F174" s="35">
        <f>D174*E174</f>
        <v/>
      </c>
      <c r="G174" s="131">
        <f>F174</f>
        <v/>
      </c>
      <c r="H174" s="139" t="inlineStr">
        <is>
          <t>Le coût par produit correspond au coût réel et la fourniture du produit est basée sur le coût/horaire temps pharmacien (116,4€/h).
Cette activité inclut l’achat, l’approvisionnement et la gestion pharmaceutique du médicament ou DM expérimental ou non expérimental.
Tout ce qui est commandé doit être payé même si ce n'est pas utilisé.</t>
        </is>
      </c>
    </row>
    <row r="175" ht="21.75" customFormat="1" customHeight="1" s="10">
      <c r="A175" s="231" t="inlineStr">
        <is>
          <t>Pharmacie - actes non nomenclaturés</t>
        </is>
      </c>
      <c r="B175" s="195" t="n"/>
      <c r="C175" s="195" t="n"/>
      <c r="D175" s="195" t="n"/>
      <c r="E175" s="195" t="n"/>
      <c r="F175" s="196" t="n"/>
      <c r="G175" s="132" t="n"/>
      <c r="H175" s="135" t="n"/>
    </row>
    <row r="176" ht="27" customFormat="1" customHeight="1" s="10">
      <c r="A176" s="63" t="inlineStr">
        <is>
          <t>Formation initiale pharmacien au protocole hors BPC (basée sur le temps pharmacien)</t>
        </is>
      </c>
      <c r="B176" s="233" t="inlineStr">
        <is>
          <t>Par personnel formé</t>
        </is>
      </c>
      <c r="C176" s="13" t="inlineStr">
        <is>
          <t>coût</t>
        </is>
      </c>
      <c r="D176" s="74" t="n">
        <v>116.4</v>
      </c>
      <c r="E176" s="32" t="n"/>
      <c r="F176" s="35">
        <f>D176*E176</f>
        <v/>
      </c>
      <c r="G176" s="117">
        <f>F176</f>
        <v/>
      </c>
      <c r="H176" s="139" t="inlineStr">
        <is>
          <t>Acte basé sur taux horaire pharmacien/ radiopharmacien (1h)</t>
        </is>
      </c>
    </row>
    <row r="177" ht="27" customFormat="1" customHeight="1" s="53">
      <c r="A177" s="63" t="inlineStr">
        <is>
          <t>Formation initiale PPH au protocole hors BPC  (basée sur le temps TEC)</t>
        </is>
      </c>
      <c r="B177" s="233" t="inlineStr">
        <is>
          <t>Par personnel formé</t>
        </is>
      </c>
      <c r="C177" s="13" t="inlineStr">
        <is>
          <t>coût</t>
        </is>
      </c>
      <c r="D177" s="74" t="n">
        <v>57.5</v>
      </c>
      <c r="E177" s="56" t="n"/>
      <c r="F177" s="35">
        <f>D177*E177</f>
        <v/>
      </c>
      <c r="G177" s="117" t="inlineStr">
        <is>
          <t>Au prorata</t>
        </is>
      </c>
      <c r="H177" s="139" t="inlineStr">
        <is>
          <t>Acte basé sur taux horaire PPH (1h)
Par personnel figurant sur la liste de délégation des tâches</t>
        </is>
      </c>
    </row>
    <row r="178" ht="42" customFormat="1" customHeight="1" s="53">
      <c r="A178" s="68" t="inlineStr">
        <is>
          <t>Formation pharmacien aux amendements au protocole, si applicable à la pharmacie  (basée sur le temps pharmacien)</t>
        </is>
      </c>
      <c r="B178" s="233" t="inlineStr">
        <is>
          <t>Par personnel formé</t>
        </is>
      </c>
      <c r="C178" s="76" t="inlineStr">
        <is>
          <t>coût</t>
        </is>
      </c>
      <c r="D178" s="74" t="n">
        <v>116.4</v>
      </c>
      <c r="E178" s="59" t="n"/>
      <c r="F178" s="35">
        <f>D178*E178</f>
        <v/>
      </c>
      <c r="G178" s="117" t="inlineStr">
        <is>
          <t>Au prorata</t>
        </is>
      </c>
      <c r="H178" s="139" t="inlineStr">
        <is>
          <t>Acte basé sur taux horaire pharmacien /radiopharmacien(1h)
Par personnel figurant sur la liste de délégation des tâches</t>
        </is>
      </c>
    </row>
    <row r="179" ht="48.75" customFormat="1" customHeight="1" s="53">
      <c r="A179" s="68" t="inlineStr">
        <is>
          <t>Formation PPH aux amendements au protocole, si applicable à la pharmacie  (basée sur le temps TEC/PPH)</t>
        </is>
      </c>
      <c r="B179" s="233" t="inlineStr">
        <is>
          <t>Par personnel formé</t>
        </is>
      </c>
      <c r="C179" s="13" t="inlineStr">
        <is>
          <t>coût</t>
        </is>
      </c>
      <c r="D179" s="74" t="n">
        <v>57.5</v>
      </c>
      <c r="E179" s="56" t="n"/>
      <c r="F179" s="35">
        <f>D179*E179</f>
        <v/>
      </c>
      <c r="G179" s="117" t="inlineStr">
        <is>
          <t>Au prorata</t>
        </is>
      </c>
      <c r="H179" s="139" t="inlineStr">
        <is>
          <t>Acte basé sur taux horaire PPH (1h)
Par personnel figurant sur la liste de délégation des tâches</t>
        </is>
      </c>
    </row>
    <row r="180" ht="38.25" customFormat="1" customHeight="1" s="4">
      <c r="A180" s="68" t="inlineStr">
        <is>
          <t>Stockage/archivage pour PUI (11,24€/année réglementaire)</t>
        </is>
      </c>
      <c r="B180" s="234" t="inlineStr">
        <is>
          <t>Par centre</t>
        </is>
      </c>
      <c r="C180" s="20" t="inlineStr">
        <is>
          <t>coût</t>
        </is>
      </c>
      <c r="D180" s="74" t="n">
        <v>11.24</v>
      </c>
      <c r="E180" s="24" t="n"/>
      <c r="F180" s="35">
        <f>D180*E180</f>
        <v/>
      </c>
      <c r="G180" s="133">
        <f>F180</f>
        <v/>
      </c>
      <c r="H180" s="139" t="inlineStr">
        <is>
          <t>Archivage dossiers papiers pharmacie conformément à la règlementation (coût d'archivage à la pharmacie+/- société prestataire)
11,24€/année réglementaire.</t>
        </is>
      </c>
    </row>
    <row r="181" ht="25.5" customFormat="1" customHeight="1" s="4">
      <c r="A181" s="231" t="inlineStr">
        <is>
          <t>Pharmacie - Spécificités Médicaments de thérapie innovante/OGM</t>
        </is>
      </c>
      <c r="B181" s="195" t="n"/>
      <c r="C181" s="195" t="n"/>
      <c r="D181" s="195" t="n"/>
      <c r="E181" s="195" t="n"/>
      <c r="F181" s="196" t="n"/>
      <c r="G181" s="192" t="n"/>
      <c r="H181" s="157" t="n"/>
    </row>
    <row r="182" ht="38.25" customFormat="1" customHeight="1" s="49">
      <c r="A182" s="68" t="inlineStr">
        <is>
          <t>Forfait supplémentaire MTI/OGM</t>
        </is>
      </c>
      <c r="B182" s="233" t="inlineStr">
        <is>
          <t>Par centre</t>
        </is>
      </c>
      <c r="C182" s="13" t="inlineStr">
        <is>
          <t>coût</t>
        </is>
      </c>
      <c r="D182" s="74" t="n">
        <v>2000</v>
      </c>
      <c r="E182" s="32" t="n"/>
      <c r="F182" s="35">
        <f>D182*E182</f>
        <v/>
      </c>
      <c r="G182" s="117">
        <f>F182</f>
        <v/>
      </c>
      <c r="H182" s="139" t="inlineStr">
        <is>
          <t>Rédaction et mise à disposition des procédures liées à la gestion des MTI/OGM
Maintien du système qualité associé
Note : ce forfait s'ajoute aux forfaits pharmaceutiques de première année et années supplémentaires</t>
        </is>
      </c>
    </row>
    <row r="183" ht="38.25" customFormat="1" customHeight="1" s="49">
      <c r="A183" s="68" t="inlineStr">
        <is>
          <t>Réception en carboglace ou LN2 (ex : dryshipper)</t>
        </is>
      </c>
      <c r="B183" s="233" t="inlineStr">
        <is>
          <t>Par acte</t>
        </is>
      </c>
      <c r="C183" s="13" t="inlineStr">
        <is>
          <t>coût</t>
        </is>
      </c>
      <c r="D183" s="77" t="n">
        <v>232.8</v>
      </c>
      <c r="E183" s="32" t="n"/>
      <c r="F183" s="35">
        <f>D183*E183</f>
        <v/>
      </c>
      <c r="G183" s="117" t="inlineStr">
        <is>
          <t>Au prorata</t>
        </is>
      </c>
      <c r="H183" s="139" t="inlineStr">
        <is>
          <t>Acte basé sur le taux horaire pharmacien (2h)</t>
        </is>
      </c>
    </row>
    <row r="184" ht="51" customFormat="1" customHeight="1" s="49">
      <c r="A184" s="68" t="inlineStr">
        <is>
          <t>Reconstitution/préparation de MTI/OGM</t>
        </is>
      </c>
      <c r="B184" s="233" t="inlineStr">
        <is>
          <t>Par acte</t>
        </is>
      </c>
      <c r="C184" s="13" t="inlineStr">
        <is>
          <t>coût</t>
        </is>
      </c>
      <c r="D184" s="77" t="n">
        <v>300</v>
      </c>
      <c r="E184" s="32" t="n"/>
      <c r="F184" s="35">
        <f>D184*E184</f>
        <v/>
      </c>
      <c r="G184" s="117" t="inlineStr">
        <is>
          <t>Au prorata</t>
        </is>
      </c>
      <c r="H184" s="139" t="inlineStr">
        <is>
          <t>Utilisation et maintenance d'une enceinte dédiée
Décontamination pré et post-manipulation
Monopolisation de &gt;2 personnels pharmaceutiques
Note : dans le cas des MTI une décongélation est considérée comme une préparation pharamceutique</t>
        </is>
      </c>
    </row>
    <row r="185" ht="38.25" customFormat="1" customHeight="1" s="49">
      <c r="A185" s="68" t="inlineStr">
        <is>
          <t xml:space="preserve">Forfait dispensation MTI/OGM
</t>
        </is>
      </c>
      <c r="B185" s="233" t="inlineStr">
        <is>
          <t>Par dispensation</t>
        </is>
      </c>
      <c r="C185" s="13" t="inlineStr">
        <is>
          <t>coût</t>
        </is>
      </c>
      <c r="D185" s="74" t="n">
        <v>200</v>
      </c>
      <c r="E185" s="32" t="n"/>
      <c r="F185" s="35">
        <f>D185*E185</f>
        <v/>
      </c>
      <c r="G185" s="117" t="inlineStr">
        <is>
          <t>Au prorata</t>
        </is>
      </c>
      <c r="H185" s="139" t="inlineStr">
        <is>
          <t>Coordination avec le service investigateur
Acheminement du MTI/OGM par un pharmacien avec condition particulière de transport
Accompagnement à l'administration du MTI/OGM</t>
        </is>
      </c>
    </row>
    <row r="186" ht="30" customFormat="1" customHeight="1" s="49">
      <c r="A186" s="68" t="inlineStr">
        <is>
          <t>Traçabilité spécifique MTI/OGM et identitovigilance des produits autologues</t>
        </is>
      </c>
      <c r="B186" s="233" t="inlineStr">
        <is>
          <t>Par centre</t>
        </is>
      </c>
      <c r="C186" s="13" t="inlineStr">
        <is>
          <t>coût</t>
        </is>
      </c>
      <c r="D186" s="74" t="n">
        <v>210</v>
      </c>
      <c r="E186" s="32" t="n"/>
      <c r="F186" s="35">
        <f>D186*E186</f>
        <v/>
      </c>
      <c r="G186" s="117">
        <f>F186</f>
        <v/>
      </c>
      <c r="H186" s="139" t="n"/>
    </row>
    <row r="187" ht="25.5" customFormat="1" customHeight="1" s="4">
      <c r="A187" s="68" t="inlineStr">
        <is>
          <t>Mise en destruction de MTI/OGM</t>
        </is>
      </c>
      <c r="B187" s="233" t="inlineStr">
        <is>
          <t>Par acte</t>
        </is>
      </c>
      <c r="C187" s="13" t="inlineStr">
        <is>
          <t>coût</t>
        </is>
      </c>
      <c r="D187" s="77" t="n">
        <v>500</v>
      </c>
      <c r="E187" s="32" t="n"/>
      <c r="F187" s="35">
        <f>D187*E187</f>
        <v/>
      </c>
      <c r="G187" s="117" t="inlineStr">
        <is>
          <t>Au prorata</t>
        </is>
      </c>
      <c r="H187" s="139" t="inlineStr">
        <is>
          <t>Traçabilité "nominative"du fût 
frais de désactivation ou d'autoclavage</t>
        </is>
      </c>
    </row>
    <row r="188" ht="24.75" customFormat="1" customHeight="1" s="4">
      <c r="A188" s="231" t="inlineStr">
        <is>
          <t>Pharmacie - Spécificités Médicaments Radiopharmaceutiques</t>
        </is>
      </c>
      <c r="B188" s="195" t="n"/>
      <c r="C188" s="195" t="n"/>
      <c r="D188" s="195" t="n"/>
      <c r="E188" s="195" t="n"/>
      <c r="F188" s="196" t="n"/>
      <c r="G188" s="192" t="n"/>
      <c r="H188" s="158" t="n"/>
    </row>
    <row r="189" ht="42" customFormat="1" customHeight="1" s="4">
      <c r="A189" s="93" t="inlineStr">
        <is>
          <t>Forfait validation et études préliminaires d'exposition des salariées
MRP expérimental uniquement</t>
        </is>
      </c>
      <c r="B189" s="28" t="inlineStr">
        <is>
          <t>par centre</t>
        </is>
      </c>
      <c r="C189" s="28" t="inlineStr">
        <is>
          <t>coût</t>
        </is>
      </c>
      <c r="D189" s="46" t="n">
        <v>1500</v>
      </c>
      <c r="E189" s="60" t="n"/>
      <c r="F189" s="11">
        <f>D189*E189</f>
        <v/>
      </c>
      <c r="G189" s="122">
        <f>F189</f>
        <v/>
      </c>
      <c r="H189" s="164" t="inlineStr">
        <is>
          <t xml:space="preserve">Etude préliminaire des exposition des salariés,
Demande d'autorisation ASN
Analyse de risque à priori notamment sur la conformité à nos process interne </t>
        </is>
      </c>
    </row>
    <row r="190" ht="21.75" customFormat="1" customHeight="1" s="49">
      <c r="A190" s="93" t="inlineStr">
        <is>
          <t>Forfait matériel de radioprotection</t>
        </is>
      </c>
      <c r="B190" s="28" t="inlineStr">
        <is>
          <t>par dispensation</t>
        </is>
      </c>
      <c r="C190" s="28" t="inlineStr">
        <is>
          <t>coût</t>
        </is>
      </c>
      <c r="D190" s="46" t="n">
        <v>5</v>
      </c>
      <c r="E190" s="50" t="n"/>
      <c r="F190" s="11">
        <f>D190*E190</f>
        <v/>
      </c>
      <c r="G190" s="122">
        <f>F190</f>
        <v/>
      </c>
      <c r="H190" s="164" t="inlineStr">
        <is>
          <t xml:space="preserve">Usage des équipements EPI </t>
        </is>
      </c>
    </row>
    <row r="191" ht="45" customFormat="1" customHeight="1" s="49">
      <c r="A191" s="66" t="inlineStr">
        <is>
          <t>Forfait supplémentaire MRP expérimental ou auxiliaire
Si protocole de radiosynthèse à implémenter sur automate</t>
        </is>
      </c>
      <c r="B191" s="236" t="inlineStr">
        <is>
          <t>Par centre</t>
        </is>
      </c>
      <c r="C191" s="7" t="inlineStr">
        <is>
          <t>coût</t>
        </is>
      </c>
      <c r="D191" s="78" t="n">
        <v>2000</v>
      </c>
      <c r="E191" s="56" t="n"/>
      <c r="F191" s="11">
        <f>D191*E191</f>
        <v/>
      </c>
      <c r="G191" s="122">
        <f>F191</f>
        <v/>
      </c>
      <c r="H191" s="164" t="inlineStr">
        <is>
          <t>Mise à disposition et maintenance de l'automate
Création et adaptation de la séquence de radiosynthèse
Note : ce forfait s'ajoute aux forfaits pharmaceutiques de première année et années supplémentaires</t>
        </is>
      </c>
    </row>
    <row r="192" ht="57" customFormat="1" customHeight="1" s="4">
      <c r="A192" s="93" t="inlineStr">
        <is>
          <t>Renvoi colis UN2910
RPH 30min</t>
        </is>
      </c>
      <c r="B192" s="7" t="inlineStr">
        <is>
          <t>par renvoi</t>
        </is>
      </c>
      <c r="C192" s="79" t="n"/>
      <c r="D192" s="78" t="n">
        <v>58.2</v>
      </c>
      <c r="E192" s="56" t="n"/>
      <c r="F192" s="11">
        <f>D192*E192</f>
        <v/>
      </c>
      <c r="G192" s="122">
        <f>F192</f>
        <v/>
      </c>
      <c r="H192" s="164" t="inlineStr">
        <is>
          <t>Acte basé sur taux horaire pharmacien (30min)
stockage avant renvoi, contrôle de contamination surfacique, réétiquetage du colis (ADR 7)</t>
        </is>
      </c>
    </row>
    <row r="193" ht="42" customFormat="1" customHeight="1" s="49">
      <c r="A193" s="66" t="inlineStr">
        <is>
          <t>Préparation complexe avec automate de MRP expérimental ou auxiliaire
Si automate nécessaire</t>
        </is>
      </c>
      <c r="B193" s="236" t="inlineStr">
        <is>
          <t>Par acte</t>
        </is>
      </c>
      <c r="C193" s="7" t="inlineStr">
        <is>
          <t>coût</t>
        </is>
      </c>
      <c r="D193" s="80" t="n">
        <v>349.2</v>
      </c>
      <c r="E193" s="56" t="n"/>
      <c r="F193" s="11">
        <f>D193*E193</f>
        <v/>
      </c>
      <c r="G193" s="117" t="inlineStr">
        <is>
          <t>Au prorata</t>
        </is>
      </c>
      <c r="H193" s="164" t="inlineStr">
        <is>
          <t>Acte basé sur taux horaire pharmacien (3h)</t>
        </is>
      </c>
    </row>
    <row r="194" ht="38.25" customFormat="1" customHeight="1" s="49">
      <c r="A194" s="66" t="inlineStr">
        <is>
          <t>Contrôle qualité de MRP expérimental ou auxiliaire</t>
        </is>
      </c>
      <c r="B194" s="236" t="inlineStr">
        <is>
          <t>Par acte</t>
        </is>
      </c>
      <c r="C194" s="7" t="inlineStr">
        <is>
          <t>coût</t>
        </is>
      </c>
      <c r="D194" s="46" t="inlineStr">
        <is>
          <t>58,2€ ou au temps réel si &gt;30min</t>
        </is>
      </c>
      <c r="E194" s="56" t="n"/>
      <c r="F194" s="11">
        <f>IFERROR(D194*E194, 0)</f>
        <v/>
      </c>
      <c r="G194" s="117" t="inlineStr">
        <is>
          <t>Au prorata</t>
        </is>
      </c>
      <c r="H194" s="164" t="inlineStr">
        <is>
          <t>Basé sur le taux horaire pharmacien
CQ simple (&lt;30min) : pH, caractères organoleptiques, pureté radiochimique par CCM
CQ complexe (&gt;30min) : autre technique (ex : pureté radiochimique par HPLC)</t>
        </is>
      </c>
    </row>
    <row r="195" ht="75" customFormat="1" customHeight="1" s="49">
      <c r="A195" s="66" t="inlineStr">
        <is>
          <t>Stockage réglementaire des déchets radioactifs avant mise en destruction
Selon demi-vie physique du radionucléide</t>
        </is>
      </c>
      <c r="B195" s="236" t="inlineStr">
        <is>
          <t>Par produit dispensé et par journée de stockage (temps de stockage = 10 périodes du radionucléide ayant la demi-vie la plus longue)</t>
        </is>
      </c>
      <c r="C195" s="7" t="inlineStr">
        <is>
          <t>coût</t>
        </is>
      </c>
      <c r="D195" s="80" t="n">
        <v>11.24</v>
      </c>
      <c r="E195" s="56" t="n"/>
      <c r="F195" s="11">
        <f>D195*E195</f>
        <v/>
      </c>
      <c r="G195" s="117" t="inlineStr">
        <is>
          <t>Au prorata</t>
        </is>
      </c>
      <c r="H195" s="164" t="inlineStr">
        <is>
          <t>Local dédié pour le stockage des déchets radioactifs
Mesures de contrôle de contamination, débit de dose</t>
        </is>
      </c>
    </row>
    <row r="196" ht="57" customFormat="1" customHeight="1" s="4">
      <c r="A196" s="93" t="inlineStr">
        <is>
          <t>Temps de mise en place d'une activité, hors circuit de routine, imposée par la recherche dans un Laboratoire de spécialité.
Temps pharmacien:  4 h + temps PPH : 4 h</t>
        </is>
      </c>
      <c r="B196" s="28" t="inlineStr">
        <is>
          <t>Par service impliqué de radiopharmacie</t>
        </is>
      </c>
      <c r="C196" s="7" t="inlineStr">
        <is>
          <t>coût</t>
        </is>
      </c>
      <c r="D196" s="80" t="n">
        <v>695.6</v>
      </c>
      <c r="E196" s="62" t="n"/>
      <c r="F196" s="11">
        <f>D196*E196</f>
        <v/>
      </c>
      <c r="G196" s="117">
        <f>F196</f>
        <v/>
      </c>
      <c r="H196" s="139" t="inlineStr">
        <is>
          <t xml:space="preserve">Temps de mise en place dans le cas de gestion de tubes radioactifs. les tubes radioactifs pris en charge par le personnel abilité a manipuler des tubes de sang/urine radioactif , généralement fait en radiopharmacie.
</t>
        </is>
      </c>
    </row>
    <row r="197" ht="81" customFormat="1" customHeight="1" s="49">
      <c r="A197" s="100" t="inlineStr">
        <is>
          <t>Temps PPH. Gestion et technicage des prélèvements sanguins. 
Préparation et envoi au labo centralisé choisi par le promoteur
Stockage réglementaires des déchets radioactifs avant mise en destruction
Lister les visites</t>
        </is>
      </c>
      <c r="B197" s="28" t="inlineStr">
        <is>
          <t>Par point de PK
30min</t>
        </is>
      </c>
      <c r="C197" s="7" t="inlineStr">
        <is>
          <t>coût</t>
        </is>
      </c>
      <c r="D197" s="37" t="n">
        <v>28.75</v>
      </c>
      <c r="E197" s="58" t="n"/>
      <c r="F197" s="11">
        <f>D197*E197</f>
        <v/>
      </c>
      <c r="G197" s="117">
        <f>F197</f>
        <v/>
      </c>
      <c r="H197" s="159" t="inlineStr">
        <is>
          <t xml:space="preserve">dupliquer les lignes par type de prélèvements et de prise en charge , a titre indicatif  :
 - 30 min pour techniquage d'une tube de sang par time point
 - 30 min pour techniquage d'une tube urine par time point
- 30 min pour le comptage de décroissance de radioactivité par time point
à adapter en fonction du manuel de laboratoire </t>
        </is>
      </c>
    </row>
    <row r="198" ht="21" customFormat="1" customHeight="1" s="49">
      <c r="A198" s="66" t="inlineStr">
        <is>
          <t xml:space="preserve">Etiquetage des tubes radiopharmacie </t>
        </is>
      </c>
      <c r="B198" s="28" t="inlineStr">
        <is>
          <t>forfait par trimestre</t>
        </is>
      </c>
      <c r="C198" s="7" t="inlineStr">
        <is>
          <t>cout</t>
        </is>
      </c>
      <c r="D198" s="81" t="n">
        <v>172.5</v>
      </c>
      <c r="E198" s="58" t="n"/>
      <c r="F198" s="11">
        <f>D198*E198</f>
        <v/>
      </c>
      <c r="G198" s="117">
        <f>F198</f>
        <v/>
      </c>
      <c r="H198" s="159" t="n"/>
    </row>
    <row r="199" ht="54" customFormat="1" customHeight="1" s="49">
      <c r="A199" s="101" t="inlineStr">
        <is>
          <t>Forfait de conservation à visée de recherche pour analyse PK
Stockage et sortie quelle que soit la nature de l'échantillon (serum plasma, urine, ADN…) si requis par le protocole</t>
        </is>
      </c>
      <c r="B199" s="28" t="inlineStr">
        <is>
          <t>Forfait annuel</t>
        </is>
      </c>
      <c r="C199" s="7" t="inlineStr">
        <is>
          <t>coût</t>
        </is>
      </c>
      <c r="D199" s="37" t="n">
        <v>224.72</v>
      </c>
      <c r="E199" s="56" t="n"/>
      <c r="F199" s="11">
        <f>D199*E199</f>
        <v/>
      </c>
      <c r="G199" s="117">
        <f>F199</f>
        <v/>
      </c>
      <c r="H199" s="139" t="n"/>
    </row>
    <row r="200" ht="30" customFormat="1" customHeight="1" s="4">
      <c r="A200" s="101" t="inlineStr">
        <is>
          <t>Temps interprétation RPH (30 min) suite mesure multiple de contrôles</t>
        </is>
      </c>
      <c r="B200" s="28" t="inlineStr">
        <is>
          <t>par visite</t>
        </is>
      </c>
      <c r="C200" s="7" t="inlineStr">
        <is>
          <t>coût</t>
        </is>
      </c>
      <c r="D200" s="37" t="n">
        <v>58.2</v>
      </c>
      <c r="E200" s="56" t="n"/>
      <c r="F200" s="11">
        <f>D200*E200</f>
        <v/>
      </c>
      <c r="G200" s="117">
        <f>F200</f>
        <v/>
      </c>
      <c r="H200" s="139" t="inlineStr">
        <is>
          <t>Exemple: A T0 = taux de  radioactivité 1 au temps 0, à T1 = taux de radioactivité 2 au temps 1. Les analyses ne peuvent plus être faite 1 fois le temps passé</t>
        </is>
      </c>
    </row>
    <row r="201" ht="15.75" customFormat="1" customHeight="1" s="10" thickBot="1">
      <c r="A201" s="85" t="inlineStr">
        <is>
          <t>TOTAL</t>
        </is>
      </c>
      <c r="B201" s="3" t="n"/>
      <c r="C201" s="3" t="n"/>
      <c r="D201" s="82" t="n"/>
      <c r="E201" s="29" t="n"/>
      <c r="F201" s="16" t="n"/>
      <c r="G201" s="134">
        <f>SUM(G19:G200)</f>
        <v/>
      </c>
      <c r="H201" s="135" t="n"/>
    </row>
    <row r="202" customFormat="1" s="10">
      <c r="B202" s="41" t="n"/>
      <c r="C202" s="41" t="n"/>
      <c r="D202" s="41" t="n"/>
      <c r="E202" s="41" t="n"/>
      <c r="F202" s="41" t="n"/>
      <c r="G202" s="44" t="n"/>
      <c r="H202" s="135" t="n"/>
    </row>
    <row r="203" customFormat="1" s="10">
      <c r="A203" s="1" t="n"/>
      <c r="B203" s="3" t="n"/>
      <c r="C203" s="3" t="n"/>
      <c r="D203" s="82" t="n"/>
      <c r="E203" s="29" t="n"/>
      <c r="F203" s="16" t="n"/>
      <c r="G203" s="42" t="n"/>
      <c r="H203" s="135" t="n"/>
    </row>
    <row r="204" customFormat="1" s="10">
      <c r="A204" s="1" t="n"/>
      <c r="B204" s="3" t="n"/>
      <c r="C204" s="3" t="n"/>
      <c r="D204" s="82" t="n"/>
      <c r="E204" s="29" t="n"/>
      <c r="F204" s="16" t="n"/>
      <c r="G204" s="42" t="n"/>
      <c r="H204" s="135" t="n"/>
    </row>
    <row r="205" customFormat="1" s="10">
      <c r="A205" s="1" t="n"/>
      <c r="B205" s="3" t="n"/>
      <c r="C205" s="3" t="n"/>
      <c r="D205" s="82" t="n"/>
      <c r="E205" s="29" t="n"/>
      <c r="F205" s="16" t="n"/>
      <c r="G205" s="42" t="n"/>
      <c r="H205" s="135" t="n"/>
    </row>
    <row r="206" customFormat="1" s="10">
      <c r="A206" s="1" t="n"/>
      <c r="B206" s="3" t="n"/>
      <c r="C206" s="3" t="n"/>
      <c r="D206" s="82" t="n"/>
      <c r="E206" s="29" t="n"/>
      <c r="F206" s="16" t="n"/>
      <c r="G206" s="42" t="n"/>
      <c r="H206" s="135" t="n"/>
    </row>
    <row r="207" customFormat="1" s="10">
      <c r="A207" s="1" t="n"/>
      <c r="B207" s="3" t="n"/>
      <c r="C207" s="3" t="n"/>
      <c r="D207" s="82" t="n"/>
      <c r="E207" s="29" t="n"/>
      <c r="F207" s="16" t="n"/>
      <c r="G207" s="42" t="n"/>
      <c r="H207" s="135" t="n"/>
    </row>
    <row r="208" customFormat="1" s="10">
      <c r="A208" s="1" t="n"/>
      <c r="B208" s="3" t="n"/>
      <c r="C208" s="3" t="n"/>
      <c r="D208" s="82" t="n"/>
      <c r="E208" s="29" t="n"/>
      <c r="F208" s="16" t="n"/>
      <c r="G208" s="42" t="n"/>
      <c r="H208" s="135" t="n"/>
    </row>
    <row r="209" customFormat="1" s="10">
      <c r="A209" s="1" t="n"/>
      <c r="B209" s="3" t="n"/>
      <c r="C209" s="3" t="n"/>
      <c r="D209" s="82" t="n"/>
      <c r="E209" s="29" t="n"/>
      <c r="F209" s="16" t="n"/>
      <c r="G209" s="42" t="n"/>
      <c r="H209" s="135" t="n"/>
    </row>
    <row r="210" customFormat="1" s="10">
      <c r="A210" s="1" t="n"/>
      <c r="B210" s="3" t="n"/>
      <c r="C210" s="3" t="n"/>
      <c r="D210" s="82" t="n"/>
      <c r="E210" s="29" t="n"/>
      <c r="F210" s="16" t="n"/>
      <c r="G210" s="42" t="n"/>
      <c r="H210" s="135" t="n"/>
    </row>
    <row r="211" customFormat="1" s="10">
      <c r="A211" s="1" t="n"/>
      <c r="B211" s="3" t="n"/>
      <c r="C211" s="3" t="n"/>
      <c r="D211" s="82" t="n"/>
      <c r="E211" s="29" t="n"/>
      <c r="F211" s="16" t="n"/>
      <c r="G211" s="42" t="n"/>
      <c r="H211" s="135" t="n"/>
    </row>
    <row r="212" customFormat="1" s="10">
      <c r="A212" s="1" t="n"/>
      <c r="B212" s="3" t="n"/>
      <c r="C212" s="3" t="n"/>
      <c r="D212" s="82" t="n"/>
      <c r="E212" s="29" t="n"/>
      <c r="F212" s="16" t="n"/>
      <c r="G212" s="42" t="n"/>
      <c r="H212" s="135" t="n"/>
    </row>
    <row r="213" customFormat="1" s="10">
      <c r="A213" s="1" t="n"/>
      <c r="B213" s="3" t="n"/>
      <c r="C213" s="3" t="n"/>
      <c r="D213" s="82" t="n"/>
      <c r="E213" s="29" t="n"/>
      <c r="F213" s="16" t="n"/>
      <c r="G213" s="42" t="n"/>
      <c r="H213" s="135" t="n"/>
    </row>
    <row r="214" customFormat="1" s="10">
      <c r="A214" s="1" t="n"/>
      <c r="B214" s="3" t="n"/>
      <c r="C214" s="3" t="n"/>
      <c r="D214" s="82" t="n"/>
      <c r="E214" s="29" t="n"/>
      <c r="F214" s="16" t="n"/>
      <c r="G214" s="42" t="n"/>
      <c r="H214" s="135" t="n"/>
    </row>
    <row r="215" customFormat="1" s="10">
      <c r="A215" s="1" t="n"/>
      <c r="B215" s="3" t="n"/>
      <c r="C215" s="3" t="n"/>
      <c r="D215" s="82" t="n"/>
      <c r="E215" s="29" t="n"/>
      <c r="F215" s="16" t="n"/>
      <c r="G215" s="42" t="n"/>
      <c r="H215" s="135" t="n"/>
    </row>
    <row r="216" customFormat="1" s="10">
      <c r="A216" s="1" t="n"/>
      <c r="B216" s="3" t="n"/>
      <c r="C216" s="3" t="n"/>
      <c r="D216" s="82" t="n"/>
      <c r="E216" s="29" t="n"/>
      <c r="F216" s="16" t="n"/>
      <c r="G216" s="42" t="n"/>
      <c r="H216" s="135" t="n"/>
    </row>
    <row r="217" customFormat="1" s="10">
      <c r="A217" s="1" t="n"/>
      <c r="B217" s="3" t="n"/>
      <c r="C217" s="3" t="n"/>
      <c r="D217" s="82" t="n"/>
      <c r="E217" s="29" t="n"/>
      <c r="F217" s="16" t="n"/>
      <c r="G217" s="42" t="n"/>
      <c r="H217" s="135" t="n"/>
    </row>
    <row r="218" customFormat="1" s="10">
      <c r="A218" s="1" t="n"/>
      <c r="B218" s="3" t="n"/>
      <c r="C218" s="3" t="n"/>
      <c r="D218" s="82" t="n"/>
      <c r="E218" s="29" t="n"/>
      <c r="F218" s="16" t="n"/>
      <c r="G218" s="42" t="n"/>
      <c r="H218" s="135" t="n"/>
    </row>
    <row r="219" customFormat="1" s="10">
      <c r="A219" s="1" t="n"/>
      <c r="B219" s="3" t="n"/>
      <c r="C219" s="3" t="n"/>
      <c r="D219" s="82" t="n"/>
      <c r="E219" s="29" t="n"/>
      <c r="F219" s="16" t="n"/>
      <c r="G219" s="42" t="n"/>
      <c r="H219" s="135" t="n"/>
    </row>
    <row r="220" customFormat="1" s="10">
      <c r="A220" s="1" t="n"/>
      <c r="B220" s="3" t="n"/>
      <c r="C220" s="3" t="n"/>
      <c r="D220" s="82" t="n"/>
      <c r="E220" s="29" t="n"/>
      <c r="F220" s="16" t="n"/>
      <c r="G220" s="42" t="n"/>
      <c r="H220" s="135" t="n"/>
    </row>
    <row r="221" customFormat="1" s="10">
      <c r="A221" s="1" t="n"/>
      <c r="B221" s="3" t="n"/>
      <c r="C221" s="3" t="n"/>
      <c r="D221" s="82" t="n"/>
      <c r="E221" s="29" t="n"/>
      <c r="F221" s="16" t="n"/>
      <c r="G221" s="42" t="n"/>
      <c r="H221" s="135" t="n"/>
    </row>
    <row r="222" customFormat="1" s="10">
      <c r="A222" s="1" t="n"/>
      <c r="B222" s="3" t="n"/>
      <c r="C222" s="3" t="n"/>
      <c r="D222" s="82" t="n"/>
      <c r="E222" s="29" t="n"/>
      <c r="F222" s="16" t="n"/>
      <c r="G222" s="42" t="n"/>
      <c r="H222" s="135" t="n"/>
    </row>
    <row r="223" customFormat="1" s="10">
      <c r="A223" s="1" t="n"/>
      <c r="B223" s="3" t="n"/>
      <c r="C223" s="3" t="n"/>
      <c r="D223" s="82" t="n"/>
      <c r="E223" s="29" t="n"/>
      <c r="F223" s="16" t="n"/>
      <c r="G223" s="42" t="n"/>
      <c r="H223" s="135" t="n"/>
    </row>
    <row r="224" customFormat="1" s="10">
      <c r="A224" s="1" t="n"/>
      <c r="B224" s="3" t="n"/>
      <c r="C224" s="3" t="n"/>
      <c r="D224" s="82" t="n"/>
      <c r="E224" s="29" t="n"/>
      <c r="F224" s="16" t="n"/>
      <c r="G224" s="42" t="n"/>
      <c r="H224" s="135" t="n"/>
    </row>
    <row r="225" customFormat="1" s="10">
      <c r="A225" s="1" t="n"/>
      <c r="B225" s="3" t="n"/>
      <c r="C225" s="3" t="n"/>
      <c r="D225" s="82" t="n"/>
      <c r="E225" s="29" t="n"/>
      <c r="F225" s="16" t="n"/>
      <c r="G225" s="42" t="n"/>
      <c r="H225" s="135" t="n"/>
    </row>
    <row r="226" customFormat="1" s="10">
      <c r="A226" s="1" t="n"/>
      <c r="B226" s="3" t="n"/>
      <c r="C226" s="3" t="n"/>
      <c r="D226" s="82" t="n"/>
      <c r="E226" s="29" t="n"/>
      <c r="F226" s="16" t="n"/>
      <c r="G226" s="42" t="n"/>
      <c r="H226" s="135" t="n"/>
    </row>
    <row r="227" customFormat="1" s="10">
      <c r="A227" s="1" t="n"/>
      <c r="B227" s="3" t="n"/>
      <c r="C227" s="3" t="n"/>
      <c r="D227" s="82" t="n"/>
      <c r="E227" s="29" t="n"/>
      <c r="F227" s="16" t="n"/>
      <c r="G227" s="42" t="n"/>
      <c r="H227" s="135" t="n"/>
    </row>
    <row r="228" customFormat="1" s="10">
      <c r="A228" s="1" t="n"/>
      <c r="B228" s="3" t="n"/>
      <c r="C228" s="3" t="n"/>
      <c r="D228" s="82" t="n"/>
      <c r="E228" s="29" t="n"/>
      <c r="F228" s="16" t="n"/>
      <c r="G228" s="42" t="n"/>
      <c r="H228" s="135" t="n"/>
    </row>
    <row r="229" customFormat="1" s="10">
      <c r="A229" s="1" t="n"/>
      <c r="B229" s="3" t="n"/>
      <c r="C229" s="3" t="n"/>
      <c r="D229" s="82" t="n"/>
      <c r="E229" s="29" t="n"/>
      <c r="F229" s="16" t="n"/>
      <c r="G229" s="42" t="n"/>
      <c r="H229" s="135" t="n"/>
    </row>
    <row r="230" customFormat="1" s="10">
      <c r="A230" s="1" t="n"/>
      <c r="B230" s="3" t="n"/>
      <c r="C230" s="3" t="n"/>
      <c r="D230" s="82" t="n"/>
      <c r="E230" s="29" t="n"/>
      <c r="F230" s="16" t="n"/>
      <c r="G230" s="42" t="n"/>
      <c r="H230" s="135" t="n"/>
    </row>
    <row r="231" customFormat="1" s="10">
      <c r="A231" s="1" t="n"/>
      <c r="B231" s="3" t="n"/>
      <c r="C231" s="3" t="n"/>
      <c r="D231" s="82" t="n"/>
      <c r="E231" s="29" t="n"/>
      <c r="F231" s="16" t="n"/>
      <c r="G231" s="42" t="n"/>
      <c r="H231" s="135" t="n"/>
    </row>
    <row r="232" customFormat="1" s="10">
      <c r="A232" s="1" t="n"/>
      <c r="B232" s="3" t="n"/>
      <c r="C232" s="3" t="n"/>
      <c r="D232" s="82" t="n"/>
      <c r="E232" s="29" t="n"/>
      <c r="F232" s="16" t="n"/>
      <c r="G232" s="42" t="n"/>
      <c r="H232" s="135" t="n"/>
    </row>
    <row r="233" customFormat="1" s="10">
      <c r="A233" s="1" t="n"/>
      <c r="B233" s="3" t="n"/>
      <c r="C233" s="3" t="n"/>
      <c r="D233" s="82" t="n"/>
      <c r="E233" s="29" t="n"/>
      <c r="F233" s="16" t="n"/>
      <c r="G233" s="42" t="n"/>
      <c r="H233" s="135" t="n"/>
    </row>
    <row r="234" customFormat="1" s="10">
      <c r="A234" s="1" t="n"/>
      <c r="B234" s="3" t="n"/>
      <c r="C234" s="3" t="n"/>
      <c r="D234" s="82" t="n"/>
      <c r="E234" s="29" t="n"/>
      <c r="F234" s="16" t="n"/>
      <c r="G234" s="42" t="n"/>
      <c r="H234" s="135" t="n"/>
    </row>
    <row r="235" customFormat="1" s="10">
      <c r="A235" s="1" t="n"/>
      <c r="B235" s="3" t="n"/>
      <c r="C235" s="3" t="n"/>
      <c r="D235" s="82" t="n"/>
      <c r="E235" s="29" t="n"/>
      <c r="F235" s="16" t="n"/>
      <c r="G235" s="42" t="n"/>
      <c r="H235" s="135" t="n"/>
    </row>
    <row r="236" customFormat="1" s="10">
      <c r="A236" s="1" t="n"/>
      <c r="B236" s="3" t="n"/>
      <c r="C236" s="3" t="n"/>
      <c r="D236" s="82" t="n"/>
      <c r="E236" s="29" t="n"/>
      <c r="F236" s="16" t="n"/>
      <c r="G236" s="42" t="n"/>
      <c r="H236" s="135" t="n"/>
    </row>
    <row r="237" customFormat="1" s="10">
      <c r="A237" s="1" t="n"/>
      <c r="B237" s="3" t="n"/>
      <c r="C237" s="3" t="n"/>
      <c r="D237" s="82" t="n"/>
      <c r="E237" s="29" t="n"/>
      <c r="F237" s="16" t="n"/>
      <c r="G237" s="42" t="n"/>
      <c r="H237" s="135" t="n"/>
    </row>
    <row r="238" customFormat="1" s="10">
      <c r="A238" s="1" t="n"/>
      <c r="B238" s="3" t="n"/>
      <c r="C238" s="3" t="n"/>
      <c r="D238" s="82" t="n"/>
      <c r="E238" s="29" t="n"/>
      <c r="F238" s="16" t="n"/>
      <c r="G238" s="42" t="n"/>
      <c r="H238" s="135" t="n"/>
    </row>
    <row r="239" customFormat="1" s="10">
      <c r="A239" s="1" t="n"/>
      <c r="B239" s="3" t="n"/>
      <c r="C239" s="3" t="n"/>
      <c r="D239" s="82" t="n"/>
      <c r="E239" s="29" t="n"/>
      <c r="F239" s="16" t="n"/>
      <c r="G239" s="42" t="n"/>
      <c r="H239" s="135" t="n"/>
    </row>
    <row r="240" customFormat="1" s="10">
      <c r="A240" s="1" t="n"/>
      <c r="B240" s="3" t="n"/>
      <c r="C240" s="3" t="n"/>
      <c r="D240" s="82" t="n"/>
      <c r="E240" s="29" t="n"/>
      <c r="F240" s="16" t="n"/>
      <c r="G240" s="42" t="n"/>
      <c r="H240" s="135" t="n"/>
    </row>
    <row r="241">
      <c r="I241" s="10" t="n"/>
      <c r="J241" s="10" t="n"/>
      <c r="K241" s="10" t="n"/>
      <c r="L241" s="10" t="n"/>
      <c r="M241" s="10" t="n"/>
      <c r="N241" s="10" t="n"/>
      <c r="O241" s="10" t="n"/>
      <c r="P241" s="10" t="n"/>
      <c r="Q241" s="10" t="n"/>
      <c r="R241" s="10" t="n"/>
      <c r="S241" s="10" t="n"/>
      <c r="T241" s="10" t="n"/>
      <c r="U241" s="10" t="n"/>
      <c r="V241" s="10" t="n"/>
      <c r="W241" s="10" t="n"/>
      <c r="X241" s="10" t="n"/>
      <c r="Y241" s="10" t="n"/>
      <c r="Z241" s="10" t="n"/>
      <c r="AA241" s="10" t="n"/>
      <c r="AB241" s="10" t="n"/>
      <c r="AC241" s="10" t="n"/>
      <c r="AD241" s="10" t="n"/>
      <c r="AE241" s="10" t="n"/>
      <c r="AF241" s="10" t="n"/>
      <c r="AG241" s="10" t="n"/>
      <c r="AH241" s="10" t="n"/>
      <c r="AI241" s="10" t="n"/>
      <c r="AJ241" s="10" t="n"/>
      <c r="AK241" s="10" t="n"/>
      <c r="AL241" s="10" t="n"/>
      <c r="AM241" s="10" t="n"/>
      <c r="AN241" s="10" t="n"/>
      <c r="AO241" s="10" t="n"/>
      <c r="AP241" s="10" t="n"/>
      <c r="AQ241" s="10" t="n"/>
      <c r="AR241" s="10" t="n"/>
      <c r="AS241" s="10" t="n"/>
      <c r="AT241" s="10" t="n"/>
      <c r="AU241" s="10" t="n"/>
      <c r="AV241" s="10" t="n"/>
      <c r="AW241" s="10" t="n"/>
      <c r="AX241" s="10" t="n"/>
      <c r="AY241" s="10" t="n"/>
      <c r="AZ241" s="10" t="n"/>
      <c r="BA241" s="10" t="n"/>
      <c r="BB241" s="10" t="n"/>
      <c r="BC241" s="10" t="n"/>
      <c r="BD241" s="10" t="n"/>
      <c r="BE241" s="10" t="n"/>
      <c r="BF241" s="10" t="n"/>
      <c r="BG241" s="10" t="n"/>
      <c r="BH241" s="10" t="n"/>
      <c r="BI241" s="10" t="n"/>
      <c r="BJ241" s="10" t="n"/>
      <c r="BK241" s="10" t="n"/>
      <c r="BL241" s="10" t="n"/>
      <c r="BM241" s="10" t="n"/>
      <c r="BN241" s="10" t="n"/>
      <c r="BO241" s="10" t="n"/>
      <c r="BP241" s="10" t="n"/>
      <c r="BQ241" s="10" t="n"/>
      <c r="BR241" s="10" t="n"/>
      <c r="BS241" s="10" t="n"/>
      <c r="BT241" s="10" t="n"/>
      <c r="BU241" s="10" t="n"/>
      <c r="BV241" s="10" t="n"/>
      <c r="BW241" s="10" t="n"/>
      <c r="BX241" s="10" t="n"/>
      <c r="BY241" s="10" t="n"/>
      <c r="BZ241" s="10" t="n"/>
      <c r="CA241" s="10" t="n"/>
      <c r="CB241" s="10" t="n"/>
      <c r="CC241" s="10" t="n"/>
      <c r="CD241" s="10" t="n"/>
      <c r="CE241" s="10" t="n"/>
      <c r="CF241" s="10" t="n"/>
      <c r="CG241" s="10" t="n"/>
      <c r="CH241" s="10" t="n"/>
      <c r="CI241" s="10" t="n"/>
      <c r="CJ241" s="10" t="n"/>
      <c r="CK241" s="10" t="n"/>
      <c r="CL241" s="10" t="n"/>
      <c r="CM241" s="10" t="n"/>
      <c r="CN241" s="10" t="n"/>
      <c r="CO241" s="10" t="n"/>
      <c r="CP241" s="10" t="n"/>
      <c r="CQ241" s="10" t="n"/>
      <c r="CR241" s="10" t="n"/>
      <c r="CS241" s="10" t="n"/>
      <c r="CT241" s="10" t="n"/>
      <c r="CU241" s="10" t="n"/>
      <c r="CV241" s="10" t="n"/>
      <c r="CW241" s="10" t="n"/>
      <c r="CX241" s="10" t="n"/>
      <c r="CY241" s="10" t="n"/>
      <c r="CZ241" s="10" t="n"/>
      <c r="DA241" s="10" t="n"/>
      <c r="DB241" s="10" t="n"/>
      <c r="DC241" s="10" t="n"/>
      <c r="DD241" s="10" t="n"/>
      <c r="DE241" s="10" t="n"/>
      <c r="DF241" s="10" t="n"/>
      <c r="DG241" s="10" t="n"/>
      <c r="DH241" s="10" t="n"/>
      <c r="DI241" s="10" t="n"/>
      <c r="DJ241" s="10" t="n"/>
      <c r="DK241" s="10" t="n"/>
      <c r="DL241" s="10" t="n"/>
      <c r="DM241" s="10" t="n"/>
      <c r="DN241" s="10" t="n"/>
      <c r="DO241" s="10" t="n"/>
      <c r="DP241" s="10" t="n"/>
      <c r="DQ241" s="10" t="n"/>
      <c r="DR241" s="10" t="n"/>
      <c r="DS241" s="10" t="n"/>
      <c r="DT241" s="10" t="n"/>
      <c r="DU241" s="10" t="n"/>
      <c r="DV241" s="10" t="n"/>
      <c r="DW241" s="10" t="n"/>
      <c r="DX241" s="10" t="n"/>
      <c r="DY241" s="10" t="n"/>
      <c r="DZ241" s="10" t="n"/>
      <c r="EA241" s="10" t="n"/>
      <c r="EB241" s="10" t="n"/>
      <c r="EC241" s="10" t="n"/>
      <c r="ED241" s="10" t="n"/>
      <c r="EE241" s="10" t="n"/>
      <c r="EF241" s="10" t="n"/>
      <c r="EG241" s="10" t="n"/>
      <c r="EH241" s="10" t="n"/>
      <c r="EI241" s="10" t="n"/>
      <c r="EJ241" s="10" t="n"/>
      <c r="EK241" s="10" t="n"/>
      <c r="EL241" s="10" t="n"/>
      <c r="EM241" s="10" t="n"/>
      <c r="EN241" s="10" t="n"/>
      <c r="EO241" s="10" t="n"/>
      <c r="EP241" s="10" t="n"/>
      <c r="EQ241" s="10" t="n"/>
      <c r="ER241" s="10" t="n"/>
      <c r="ES241" s="10" t="n"/>
      <c r="ET241" s="10" t="n"/>
      <c r="EU241" s="10" t="n"/>
      <c r="EV241" s="10" t="n"/>
      <c r="EW241" s="10" t="n"/>
      <c r="EX241" s="10" t="n"/>
      <c r="EY241" s="10" t="n"/>
    </row>
    <row r="242" customFormat="1" s="10">
      <c r="A242" s="1" t="n"/>
      <c r="B242" s="3" t="n"/>
      <c r="C242" s="3" t="n"/>
      <c r="D242" s="82" t="n"/>
      <c r="E242" s="29" t="n"/>
      <c r="F242" s="16" t="n"/>
      <c r="G242" s="42" t="n"/>
      <c r="H242" s="135"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c r="AC242" s="1" t="n"/>
      <c r="AD242" s="1" t="n"/>
      <c r="AE242" s="1" t="n"/>
      <c r="AF242" s="1" t="n"/>
      <c r="AG242" s="1" t="n"/>
      <c r="AH242" s="1" t="n"/>
      <c r="AI242" s="1" t="n"/>
      <c r="AJ242" s="1" t="n"/>
      <c r="AK242" s="1" t="n"/>
      <c r="AL242" s="1" t="n"/>
      <c r="AM242" s="1" t="n"/>
      <c r="AN242" s="1" t="n"/>
      <c r="AO242" s="1" t="n"/>
      <c r="AP242" s="1" t="n"/>
      <c r="AQ242" s="1" t="n"/>
      <c r="AR242" s="1" t="n"/>
      <c r="AS242" s="1" t="n"/>
      <c r="AT242" s="1" t="n"/>
      <c r="AU242" s="1" t="n"/>
      <c r="AV242" s="1" t="n"/>
      <c r="AW242" s="1" t="n"/>
      <c r="AX242" s="1" t="n"/>
      <c r="AY242" s="1" t="n"/>
      <c r="AZ242" s="1" t="n"/>
      <c r="BA242" s="1" t="n"/>
      <c r="BB242" s="1" t="n"/>
      <c r="BC242" s="1" t="n"/>
      <c r="BD242" s="1" t="n"/>
      <c r="BE242" s="1" t="n"/>
      <c r="BF242" s="1" t="n"/>
      <c r="BG242" s="1" t="n"/>
      <c r="BH242" s="1" t="n"/>
      <c r="BI242" s="1" t="n"/>
      <c r="BJ242" s="1" t="n"/>
      <c r="BK242" s="1" t="n"/>
      <c r="BL242" s="1" t="n"/>
      <c r="BM242" s="1" t="n"/>
      <c r="BN242" s="1" t="n"/>
      <c r="BO242" s="1" t="n"/>
      <c r="BP242" s="1" t="n"/>
      <c r="BQ242" s="1" t="n"/>
      <c r="BR242" s="1" t="n"/>
      <c r="BS242" s="1" t="n"/>
      <c r="BT242" s="1" t="n"/>
      <c r="BU242" s="1" t="n"/>
      <c r="BV242" s="1" t="n"/>
      <c r="BW242" s="1" t="n"/>
      <c r="BX242" s="1" t="n"/>
      <c r="BY242" s="1" t="n"/>
      <c r="BZ242" s="1" t="n"/>
      <c r="CA242" s="1" t="n"/>
      <c r="CB242" s="1" t="n"/>
      <c r="CC242" s="1" t="n"/>
      <c r="CD242" s="1" t="n"/>
      <c r="CE242" s="1" t="n"/>
      <c r="CF242" s="1" t="n"/>
      <c r="CG242" s="1" t="n"/>
      <c r="CH242" s="1" t="n"/>
      <c r="CI242" s="1" t="n"/>
      <c r="CJ242" s="1" t="n"/>
      <c r="CK242" s="1" t="n"/>
      <c r="CL242" s="1" t="n"/>
      <c r="CM242" s="1" t="n"/>
      <c r="CN242" s="1" t="n"/>
      <c r="CO242" s="1" t="n"/>
      <c r="CP242" s="1" t="n"/>
      <c r="CQ242" s="1" t="n"/>
      <c r="CR242" s="1" t="n"/>
      <c r="CS242" s="1" t="n"/>
      <c r="CT242" s="1" t="n"/>
      <c r="CU242" s="1" t="n"/>
      <c r="CV242" s="1" t="n"/>
      <c r="CW242" s="1" t="n"/>
      <c r="CX242" s="1" t="n"/>
      <c r="CY242" s="1" t="n"/>
      <c r="CZ242" s="1" t="n"/>
      <c r="DA242" s="1" t="n"/>
      <c r="DB242" s="1" t="n"/>
      <c r="DC242" s="1" t="n"/>
      <c r="DD242" s="1" t="n"/>
      <c r="DE242" s="1" t="n"/>
      <c r="DF242" s="1" t="n"/>
      <c r="DG242" s="1" t="n"/>
      <c r="DH242" s="1" t="n"/>
      <c r="DI242" s="1" t="n"/>
      <c r="DJ242" s="1" t="n"/>
      <c r="DK242" s="1" t="n"/>
      <c r="DL242" s="1" t="n"/>
      <c r="DM242" s="1" t="n"/>
      <c r="DN242" s="1" t="n"/>
      <c r="DO242" s="1" t="n"/>
      <c r="DP242" s="1" t="n"/>
      <c r="DQ242" s="1" t="n"/>
      <c r="DR242" s="1" t="n"/>
      <c r="DS242" s="1" t="n"/>
      <c r="DT242" s="1" t="n"/>
      <c r="DU242" s="1" t="n"/>
      <c r="DV242" s="1" t="n"/>
      <c r="DW242" s="1" t="n"/>
      <c r="DX242" s="1" t="n"/>
      <c r="DY242" s="1" t="n"/>
      <c r="DZ242" s="1" t="n"/>
      <c r="EA242" s="1" t="n"/>
      <c r="EB242" s="1" t="n"/>
      <c r="EC242" s="1" t="n"/>
      <c r="ED242" s="1" t="n"/>
      <c r="EE242" s="1" t="n"/>
      <c r="EF242" s="1" t="n"/>
      <c r="EG242" s="1" t="n"/>
      <c r="EH242" s="1" t="n"/>
      <c r="EI242" s="1" t="n"/>
      <c r="EJ242" s="1" t="n"/>
      <c r="EK242" s="1" t="n"/>
      <c r="EL242" s="1" t="n"/>
      <c r="EM242" s="1" t="n"/>
      <c r="EN242" s="1" t="n"/>
      <c r="EO242" s="1" t="n"/>
      <c r="EP242" s="1" t="n"/>
      <c r="EQ242" s="1" t="n"/>
      <c r="ER242" s="1" t="n"/>
      <c r="ES242" s="1" t="n"/>
      <c r="ET242" s="1" t="n"/>
      <c r="EU242" s="1" t="n"/>
      <c r="EV242" s="1" t="n"/>
      <c r="EW242" s="1" t="n"/>
      <c r="EX242" s="1" t="n"/>
      <c r="EY242" s="1" t="n"/>
    </row>
    <row r="243" customFormat="1" s="10">
      <c r="A243" s="1" t="n"/>
      <c r="B243" s="3" t="n"/>
      <c r="C243" s="3" t="n"/>
      <c r="D243" s="82" t="n"/>
      <c r="E243" s="29" t="n"/>
      <c r="F243" s="16" t="n"/>
      <c r="G243" s="42" t="n"/>
      <c r="H243" s="135" t="n"/>
    </row>
    <row r="244" customFormat="1" s="10">
      <c r="A244" s="1" t="n"/>
      <c r="B244" s="3" t="n"/>
      <c r="C244" s="3" t="n"/>
      <c r="D244" s="82" t="n"/>
      <c r="E244" s="29" t="n"/>
      <c r="F244" s="16" t="n"/>
      <c r="G244" s="42" t="n"/>
      <c r="H244" s="135" t="n"/>
    </row>
    <row r="245" customFormat="1" s="10">
      <c r="A245" s="1" t="n"/>
      <c r="B245" s="3" t="n"/>
      <c r="C245" s="3" t="n"/>
      <c r="D245" s="82" t="n"/>
      <c r="E245" s="29" t="n"/>
      <c r="F245" s="16" t="n"/>
      <c r="G245" s="42" t="n"/>
      <c r="H245" s="135" t="n"/>
    </row>
    <row r="246" customFormat="1" s="10">
      <c r="A246" s="1" t="n"/>
      <c r="B246" s="3" t="n"/>
      <c r="C246" s="3" t="n"/>
      <c r="D246" s="82" t="n"/>
      <c r="E246" s="29" t="n"/>
      <c r="F246" s="16" t="n"/>
      <c r="G246" s="42" t="n"/>
      <c r="H246" s="135" t="n"/>
    </row>
    <row r="247" customFormat="1" s="10">
      <c r="A247" s="1" t="n"/>
      <c r="B247" s="3" t="n"/>
      <c r="C247" s="3" t="n"/>
      <c r="D247" s="82" t="n"/>
      <c r="E247" s="29" t="n"/>
      <c r="F247" s="16" t="n"/>
      <c r="G247" s="42" t="n"/>
      <c r="H247" s="135" t="n"/>
    </row>
    <row r="248" customFormat="1" s="10">
      <c r="A248" s="1" t="n"/>
      <c r="B248" s="3" t="n"/>
      <c r="C248" s="3" t="n"/>
      <c r="D248" s="82" t="n"/>
      <c r="E248" s="29" t="n"/>
      <c r="F248" s="16" t="n"/>
      <c r="G248" s="42" t="n"/>
      <c r="H248" s="135" t="n"/>
    </row>
    <row r="249">
      <c r="I249" s="10" t="n"/>
      <c r="J249" s="10" t="n"/>
      <c r="K249" s="10" t="n"/>
      <c r="L249" s="10" t="n"/>
      <c r="M249" s="10" t="n"/>
      <c r="N249" s="10" t="n"/>
      <c r="O249" s="10" t="n"/>
      <c r="P249" s="10" t="n"/>
      <c r="Q249" s="10" t="n"/>
      <c r="R249" s="10" t="n"/>
      <c r="S249" s="10" t="n"/>
      <c r="T249" s="10" t="n"/>
      <c r="U249" s="10" t="n"/>
      <c r="V249" s="10" t="n"/>
      <c r="W249" s="10" t="n"/>
      <c r="X249" s="10" t="n"/>
      <c r="Y249" s="10" t="n"/>
      <c r="Z249" s="10" t="n"/>
      <c r="AA249" s="10" t="n"/>
      <c r="AB249" s="10" t="n"/>
      <c r="AC249" s="10" t="n"/>
      <c r="AD249" s="10" t="n"/>
      <c r="AE249" s="10" t="n"/>
      <c r="AF249" s="10" t="n"/>
      <c r="AG249" s="10" t="n"/>
      <c r="AH249" s="10" t="n"/>
      <c r="AI249" s="10" t="n"/>
      <c r="AJ249" s="10" t="n"/>
      <c r="AK249" s="10" t="n"/>
      <c r="AL249" s="10" t="n"/>
      <c r="AM249" s="10" t="n"/>
      <c r="AN249" s="10" t="n"/>
      <c r="AO249" s="10" t="n"/>
      <c r="AP249" s="10" t="n"/>
      <c r="AQ249" s="10" t="n"/>
      <c r="AR249" s="10" t="n"/>
      <c r="AS249" s="10" t="n"/>
      <c r="AT249" s="10" t="n"/>
      <c r="AU249" s="10" t="n"/>
      <c r="AV249" s="10" t="n"/>
      <c r="AW249" s="10" t="n"/>
      <c r="AX249" s="10" t="n"/>
      <c r="AY249" s="10" t="n"/>
      <c r="AZ249" s="10" t="n"/>
      <c r="BA249" s="10" t="n"/>
      <c r="BB249" s="10" t="n"/>
      <c r="BC249" s="10" t="n"/>
      <c r="BD249" s="10" t="n"/>
      <c r="BE249" s="10" t="n"/>
      <c r="BF249" s="10" t="n"/>
      <c r="BG249" s="10" t="n"/>
      <c r="BH249" s="10" t="n"/>
      <c r="BI249" s="10" t="n"/>
      <c r="BJ249" s="10" t="n"/>
      <c r="BK249" s="10" t="n"/>
      <c r="BL249" s="10" t="n"/>
      <c r="BM249" s="10" t="n"/>
      <c r="BN249" s="10" t="n"/>
      <c r="BO249" s="10" t="n"/>
      <c r="BP249" s="10" t="n"/>
      <c r="BQ249" s="10" t="n"/>
      <c r="BR249" s="10" t="n"/>
      <c r="BS249" s="10" t="n"/>
      <c r="BT249" s="10" t="n"/>
      <c r="BU249" s="10" t="n"/>
      <c r="BV249" s="10" t="n"/>
      <c r="BW249" s="10" t="n"/>
      <c r="BX249" s="10" t="n"/>
      <c r="BY249" s="10" t="n"/>
      <c r="BZ249" s="10" t="n"/>
      <c r="CA249" s="10" t="n"/>
      <c r="CB249" s="10" t="n"/>
      <c r="CC249" s="10" t="n"/>
      <c r="CD249" s="10" t="n"/>
      <c r="CE249" s="10" t="n"/>
      <c r="CF249" s="10" t="n"/>
      <c r="CG249" s="10" t="n"/>
      <c r="CH249" s="10" t="n"/>
      <c r="CI249" s="10" t="n"/>
      <c r="CJ249" s="10" t="n"/>
      <c r="CK249" s="10" t="n"/>
      <c r="CL249" s="10" t="n"/>
      <c r="CM249" s="10" t="n"/>
      <c r="CN249" s="10" t="n"/>
      <c r="CO249" s="10" t="n"/>
      <c r="CP249" s="10" t="n"/>
      <c r="CQ249" s="10" t="n"/>
      <c r="CR249" s="10" t="n"/>
      <c r="CS249" s="10" t="n"/>
      <c r="CT249" s="10" t="n"/>
      <c r="CU249" s="10" t="n"/>
      <c r="CV249" s="10" t="n"/>
      <c r="CW249" s="10" t="n"/>
      <c r="CX249" s="10" t="n"/>
      <c r="CY249" s="10" t="n"/>
      <c r="CZ249" s="10" t="n"/>
      <c r="DA249" s="10" t="n"/>
      <c r="DB249" s="10" t="n"/>
      <c r="DC249" s="10" t="n"/>
      <c r="DD249" s="10" t="n"/>
      <c r="DE249" s="10" t="n"/>
      <c r="DF249" s="10" t="n"/>
      <c r="DG249" s="10" t="n"/>
      <c r="DH249" s="10" t="n"/>
      <c r="DI249" s="10" t="n"/>
      <c r="DJ249" s="10" t="n"/>
      <c r="DK249" s="10" t="n"/>
      <c r="DL249" s="10" t="n"/>
      <c r="DM249" s="10" t="n"/>
      <c r="DN249" s="10" t="n"/>
      <c r="DO249" s="10" t="n"/>
      <c r="DP249" s="10" t="n"/>
      <c r="DQ249" s="10" t="n"/>
      <c r="DR249" s="10" t="n"/>
      <c r="DS249" s="10" t="n"/>
      <c r="DT249" s="10" t="n"/>
      <c r="DU249" s="10" t="n"/>
      <c r="DV249" s="10" t="n"/>
      <c r="DW249" s="10" t="n"/>
      <c r="DX249" s="10" t="n"/>
      <c r="DY249" s="10" t="n"/>
      <c r="DZ249" s="10" t="n"/>
      <c r="EA249" s="10" t="n"/>
      <c r="EB249" s="10" t="n"/>
      <c r="EC249" s="10" t="n"/>
      <c r="ED249" s="10" t="n"/>
      <c r="EE249" s="10" t="n"/>
      <c r="EF249" s="10" t="n"/>
      <c r="EG249" s="10" t="n"/>
      <c r="EH249" s="10" t="n"/>
      <c r="EI249" s="10" t="n"/>
      <c r="EJ249" s="10" t="n"/>
      <c r="EK249" s="10" t="n"/>
      <c r="EL249" s="10" t="n"/>
      <c r="EM249" s="10" t="n"/>
      <c r="EN249" s="10" t="n"/>
      <c r="EO249" s="10" t="n"/>
      <c r="EP249" s="10" t="n"/>
      <c r="EQ249" s="10" t="n"/>
      <c r="ER249" s="10" t="n"/>
      <c r="ES249" s="10" t="n"/>
      <c r="ET249" s="10" t="n"/>
      <c r="EU249" s="10" t="n"/>
      <c r="EV249" s="10" t="n"/>
      <c r="EW249" s="10" t="n"/>
      <c r="EX249" s="10" t="n"/>
      <c r="EY249" s="10" t="n"/>
    </row>
    <row r="250"/>
    <row r="251"/>
    <row r="252"/>
    <row r="253"/>
    <row r="254"/>
    <row r="255" customFormat="1" s="10">
      <c r="A255" s="1" t="n"/>
      <c r="B255" s="3" t="n"/>
      <c r="C255" s="3" t="n"/>
      <c r="D255" s="82" t="n"/>
      <c r="E255" s="29" t="n"/>
      <c r="F255" s="16" t="n"/>
      <c r="G255" s="42" t="n"/>
      <c r="H255" s="135"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c r="AC255" s="1" t="n"/>
      <c r="AD255" s="1" t="n"/>
      <c r="AE255" s="1" t="n"/>
      <c r="AF255" s="1" t="n"/>
      <c r="AG255" s="1" t="n"/>
      <c r="AH255" s="1" t="n"/>
      <c r="AI255" s="1" t="n"/>
      <c r="AJ255" s="1" t="n"/>
      <c r="AK255" s="1" t="n"/>
      <c r="AL255" s="1" t="n"/>
      <c r="AM255" s="1" t="n"/>
      <c r="AN255" s="1" t="n"/>
      <c r="AO255" s="1" t="n"/>
      <c r="AP255" s="1" t="n"/>
      <c r="AQ255" s="1" t="n"/>
      <c r="AR255" s="1" t="n"/>
      <c r="AS255" s="1" t="n"/>
      <c r="AT255" s="1" t="n"/>
      <c r="AU255" s="1" t="n"/>
      <c r="AV255" s="1" t="n"/>
      <c r="AW255" s="1" t="n"/>
      <c r="AX255" s="1" t="n"/>
      <c r="AY255" s="1" t="n"/>
      <c r="AZ255" s="1" t="n"/>
      <c r="BA255" s="1" t="n"/>
      <c r="BB255" s="1" t="n"/>
      <c r="BC255" s="1" t="n"/>
      <c r="BD255" s="1" t="n"/>
      <c r="BE255" s="1" t="n"/>
      <c r="BF255" s="1" t="n"/>
      <c r="BG255" s="1" t="n"/>
      <c r="BH255" s="1" t="n"/>
      <c r="BI255" s="1" t="n"/>
      <c r="BJ255" s="1" t="n"/>
      <c r="BK255" s="1" t="n"/>
      <c r="BL255" s="1" t="n"/>
      <c r="BM255" s="1" t="n"/>
      <c r="BN255" s="1" t="n"/>
      <c r="BO255" s="1" t="n"/>
      <c r="BP255" s="1" t="n"/>
      <c r="BQ255" s="1" t="n"/>
      <c r="BR255" s="1" t="n"/>
      <c r="BS255" s="1" t="n"/>
      <c r="BT255" s="1" t="n"/>
      <c r="BU255" s="1" t="n"/>
      <c r="BV255" s="1" t="n"/>
      <c r="BW255" s="1" t="n"/>
      <c r="BX255" s="1" t="n"/>
      <c r="BY255" s="1" t="n"/>
      <c r="BZ255" s="1" t="n"/>
      <c r="CA255" s="1" t="n"/>
      <c r="CB255" s="1" t="n"/>
      <c r="CC255" s="1" t="n"/>
      <c r="CD255" s="1" t="n"/>
      <c r="CE255" s="1" t="n"/>
      <c r="CF255" s="1" t="n"/>
      <c r="CG255" s="1" t="n"/>
      <c r="CH255" s="1" t="n"/>
      <c r="CI255" s="1" t="n"/>
      <c r="CJ255" s="1" t="n"/>
      <c r="CK255" s="1" t="n"/>
      <c r="CL255" s="1" t="n"/>
      <c r="CM255" s="1" t="n"/>
      <c r="CN255" s="1" t="n"/>
      <c r="CO255" s="1" t="n"/>
      <c r="CP255" s="1" t="n"/>
      <c r="CQ255" s="1" t="n"/>
      <c r="CR255" s="1" t="n"/>
      <c r="CS255" s="1" t="n"/>
      <c r="CT255" s="1" t="n"/>
      <c r="CU255" s="1" t="n"/>
      <c r="CV255" s="1" t="n"/>
      <c r="CW255" s="1" t="n"/>
      <c r="CX255" s="1" t="n"/>
      <c r="CY255" s="1" t="n"/>
      <c r="CZ255" s="1" t="n"/>
      <c r="DA255" s="1" t="n"/>
      <c r="DB255" s="1" t="n"/>
      <c r="DC255" s="1" t="n"/>
      <c r="DD255" s="1" t="n"/>
      <c r="DE255" s="1" t="n"/>
      <c r="DF255" s="1" t="n"/>
      <c r="DG255" s="1" t="n"/>
      <c r="DH255" s="1" t="n"/>
      <c r="DI255" s="1" t="n"/>
      <c r="DJ255" s="1" t="n"/>
      <c r="DK255" s="1" t="n"/>
      <c r="DL255" s="1" t="n"/>
      <c r="DM255" s="1" t="n"/>
      <c r="DN255" s="1" t="n"/>
      <c r="DO255" s="1" t="n"/>
      <c r="DP255" s="1" t="n"/>
      <c r="DQ255" s="1" t="n"/>
      <c r="DR255" s="1" t="n"/>
      <c r="DS255" s="1" t="n"/>
      <c r="DT255" s="1" t="n"/>
      <c r="DU255" s="1" t="n"/>
      <c r="DV255" s="1" t="n"/>
      <c r="DW255" s="1" t="n"/>
      <c r="DX255" s="1" t="n"/>
      <c r="DY255" s="1" t="n"/>
      <c r="DZ255" s="1" t="n"/>
      <c r="EA255" s="1" t="n"/>
      <c r="EB255" s="1" t="n"/>
      <c r="EC255" s="1" t="n"/>
      <c r="ED255" s="1" t="n"/>
      <c r="EE255" s="1" t="n"/>
      <c r="EF255" s="1" t="n"/>
      <c r="EG255" s="1" t="n"/>
      <c r="EH255" s="1" t="n"/>
      <c r="EI255" s="1" t="n"/>
      <c r="EJ255" s="1" t="n"/>
      <c r="EK255" s="1" t="n"/>
      <c r="EL255" s="1" t="n"/>
      <c r="EM255" s="1" t="n"/>
      <c r="EN255" s="1" t="n"/>
      <c r="EO255" s="1" t="n"/>
      <c r="EP255" s="1" t="n"/>
      <c r="EQ255" s="1" t="n"/>
      <c r="ER255" s="1" t="n"/>
      <c r="ES255" s="1" t="n"/>
      <c r="ET255" s="1" t="n"/>
      <c r="EU255" s="1" t="n"/>
      <c r="EV255" s="1" t="n"/>
      <c r="EW255" s="1" t="n"/>
      <c r="EX255" s="1" t="n"/>
      <c r="EY255" s="1" t="n"/>
    </row>
    <row r="256" customFormat="1" s="10">
      <c r="A256" s="1" t="n"/>
      <c r="B256" s="3" t="n"/>
      <c r="C256" s="3" t="n"/>
      <c r="D256" s="82" t="n"/>
      <c r="E256" s="29" t="n"/>
      <c r="F256" s="16" t="n"/>
      <c r="G256" s="42" t="n"/>
      <c r="H256" s="135" t="n"/>
    </row>
    <row r="257" customFormat="1" s="10">
      <c r="A257" s="1" t="n"/>
      <c r="B257" s="3" t="n"/>
      <c r="C257" s="3" t="n"/>
      <c r="D257" s="82" t="n"/>
      <c r="E257" s="29" t="n"/>
      <c r="F257" s="16" t="n"/>
      <c r="G257" s="42" t="n"/>
      <c r="H257" s="135" t="n"/>
    </row>
    <row r="258">
      <c r="I258" s="10" t="n"/>
      <c r="J258" s="10" t="n"/>
      <c r="K258" s="10" t="n"/>
      <c r="L258" s="10" t="n"/>
      <c r="M258" s="10" t="n"/>
      <c r="N258" s="10" t="n"/>
      <c r="O258" s="10" t="n"/>
      <c r="P258" s="10" t="n"/>
      <c r="Q258" s="10" t="n"/>
      <c r="R258" s="10" t="n"/>
      <c r="S258" s="10" t="n"/>
      <c r="T258" s="10" t="n"/>
      <c r="U258" s="10" t="n"/>
      <c r="V258" s="10" t="n"/>
      <c r="W258" s="10" t="n"/>
      <c r="X258" s="10" t="n"/>
      <c r="Y258" s="10" t="n"/>
      <c r="Z258" s="10" t="n"/>
      <c r="AA258" s="10" t="n"/>
      <c r="AB258" s="10" t="n"/>
      <c r="AC258" s="10" t="n"/>
      <c r="AD258" s="10" t="n"/>
      <c r="AE258" s="10" t="n"/>
      <c r="AF258" s="10" t="n"/>
      <c r="AG258" s="10" t="n"/>
      <c r="AH258" s="10" t="n"/>
      <c r="AI258" s="10" t="n"/>
      <c r="AJ258" s="10" t="n"/>
      <c r="AK258" s="10" t="n"/>
      <c r="AL258" s="10" t="n"/>
      <c r="AM258" s="10" t="n"/>
      <c r="AN258" s="10" t="n"/>
      <c r="AO258" s="10" t="n"/>
      <c r="AP258" s="10" t="n"/>
      <c r="AQ258" s="10" t="n"/>
      <c r="AR258" s="10" t="n"/>
      <c r="AS258" s="10" t="n"/>
      <c r="AT258" s="10" t="n"/>
      <c r="AU258" s="10" t="n"/>
      <c r="AV258" s="10" t="n"/>
      <c r="AW258" s="10" t="n"/>
      <c r="AX258" s="10" t="n"/>
      <c r="AY258" s="10" t="n"/>
      <c r="AZ258" s="10" t="n"/>
      <c r="BA258" s="10" t="n"/>
      <c r="BB258" s="10" t="n"/>
      <c r="BC258" s="10" t="n"/>
      <c r="BD258" s="10" t="n"/>
      <c r="BE258" s="10" t="n"/>
      <c r="BF258" s="10" t="n"/>
      <c r="BG258" s="10" t="n"/>
      <c r="BH258" s="10" t="n"/>
      <c r="BI258" s="10" t="n"/>
      <c r="BJ258" s="10" t="n"/>
      <c r="BK258" s="10" t="n"/>
      <c r="BL258" s="10" t="n"/>
      <c r="BM258" s="10" t="n"/>
      <c r="BN258" s="10" t="n"/>
      <c r="BO258" s="10" t="n"/>
      <c r="BP258" s="10" t="n"/>
      <c r="BQ258" s="10" t="n"/>
      <c r="BR258" s="10" t="n"/>
      <c r="BS258" s="10" t="n"/>
      <c r="BT258" s="10" t="n"/>
      <c r="BU258" s="10" t="n"/>
      <c r="BV258" s="10" t="n"/>
      <c r="BW258" s="10" t="n"/>
      <c r="BX258" s="10" t="n"/>
      <c r="BY258" s="10" t="n"/>
      <c r="BZ258" s="10" t="n"/>
      <c r="CA258" s="10" t="n"/>
      <c r="CB258" s="10" t="n"/>
      <c r="CC258" s="10" t="n"/>
      <c r="CD258" s="10" t="n"/>
      <c r="CE258" s="10" t="n"/>
      <c r="CF258" s="10" t="n"/>
      <c r="CG258" s="10" t="n"/>
      <c r="CH258" s="10" t="n"/>
      <c r="CI258" s="10" t="n"/>
      <c r="CJ258" s="10" t="n"/>
      <c r="CK258" s="10" t="n"/>
      <c r="CL258" s="10" t="n"/>
      <c r="CM258" s="10" t="n"/>
      <c r="CN258" s="10" t="n"/>
      <c r="CO258" s="10" t="n"/>
      <c r="CP258" s="10" t="n"/>
      <c r="CQ258" s="10" t="n"/>
      <c r="CR258" s="10" t="n"/>
      <c r="CS258" s="10" t="n"/>
      <c r="CT258" s="10" t="n"/>
      <c r="CU258" s="10" t="n"/>
      <c r="CV258" s="10" t="n"/>
      <c r="CW258" s="10" t="n"/>
      <c r="CX258" s="10" t="n"/>
      <c r="CY258" s="10" t="n"/>
      <c r="CZ258" s="10" t="n"/>
      <c r="DA258" s="10" t="n"/>
      <c r="DB258" s="10" t="n"/>
      <c r="DC258" s="10" t="n"/>
      <c r="DD258" s="10" t="n"/>
      <c r="DE258" s="10" t="n"/>
      <c r="DF258" s="10" t="n"/>
      <c r="DG258" s="10" t="n"/>
      <c r="DH258" s="10" t="n"/>
      <c r="DI258" s="10" t="n"/>
      <c r="DJ258" s="10" t="n"/>
      <c r="DK258" s="10" t="n"/>
      <c r="DL258" s="10" t="n"/>
      <c r="DM258" s="10" t="n"/>
      <c r="DN258" s="10" t="n"/>
      <c r="DO258" s="10" t="n"/>
      <c r="DP258" s="10" t="n"/>
      <c r="DQ258" s="10" t="n"/>
      <c r="DR258" s="10" t="n"/>
      <c r="DS258" s="10" t="n"/>
      <c r="DT258" s="10" t="n"/>
      <c r="DU258" s="10" t="n"/>
      <c r="DV258" s="10" t="n"/>
      <c r="DW258" s="10" t="n"/>
      <c r="DX258" s="10" t="n"/>
      <c r="DY258" s="10" t="n"/>
      <c r="DZ258" s="10" t="n"/>
      <c r="EA258" s="10" t="n"/>
      <c r="EB258" s="10" t="n"/>
      <c r="EC258" s="10" t="n"/>
      <c r="ED258" s="10" t="n"/>
      <c r="EE258" s="10" t="n"/>
      <c r="EF258" s="10" t="n"/>
      <c r="EG258" s="10" t="n"/>
      <c r="EH258" s="10" t="n"/>
      <c r="EI258" s="10" t="n"/>
      <c r="EJ258" s="10" t="n"/>
      <c r="EK258" s="10" t="n"/>
      <c r="EL258" s="10" t="n"/>
      <c r="EM258" s="10" t="n"/>
      <c r="EN258" s="10" t="n"/>
      <c r="EO258" s="10" t="n"/>
      <c r="EP258" s="10" t="n"/>
      <c r="EQ258" s="10" t="n"/>
      <c r="ER258" s="10" t="n"/>
      <c r="ES258" s="10" t="n"/>
      <c r="ET258" s="10" t="n"/>
      <c r="EU258" s="10" t="n"/>
      <c r="EV258" s="10" t="n"/>
      <c r="EW258" s="10" t="n"/>
      <c r="EX258" s="10" t="n"/>
      <c r="EY258" s="10" t="n"/>
    </row>
    <row r="259"/>
    <row r="260"/>
    <row r="261"/>
    <row r="262"/>
    <row r="263"/>
    <row r="264"/>
    <row r="265"/>
    <row r="266"/>
    <row r="267"/>
    <row r="268"/>
    <row r="269"/>
    <row r="270"/>
    <row r="271"/>
    <row r="272"/>
    <row r="273"/>
    <row r="274"/>
    <row r="275" customFormat="1" s="17">
      <c r="A275" s="1" t="n"/>
      <c r="B275" s="3" t="n"/>
      <c r="C275" s="3" t="n"/>
      <c r="D275" s="82" t="n"/>
      <c r="E275" s="29" t="n"/>
      <c r="F275" s="16" t="n"/>
      <c r="G275" s="42" t="n"/>
      <c r="H275" s="135"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c r="AC275" s="1" t="n"/>
      <c r="AD275" s="1" t="n"/>
      <c r="AE275" s="1" t="n"/>
      <c r="AF275" s="1" t="n"/>
      <c r="AG275" s="1" t="n"/>
      <c r="AH275" s="1" t="n"/>
      <c r="AI275" s="1" t="n"/>
      <c r="AJ275" s="1" t="n"/>
      <c r="AK275" s="1" t="n"/>
      <c r="AL275" s="1" t="n"/>
      <c r="AM275" s="1" t="n"/>
      <c r="AN275" s="1" t="n"/>
      <c r="AO275" s="1" t="n"/>
      <c r="AP275" s="1" t="n"/>
      <c r="AQ275" s="1" t="n"/>
      <c r="AR275" s="1" t="n"/>
      <c r="AS275" s="1" t="n"/>
      <c r="AT275" s="1" t="n"/>
      <c r="AU275" s="1" t="n"/>
      <c r="AV275" s="1" t="n"/>
      <c r="AW275" s="1" t="n"/>
      <c r="AX275" s="1" t="n"/>
      <c r="AY275" s="1" t="n"/>
      <c r="AZ275" s="1" t="n"/>
      <c r="BA275" s="1" t="n"/>
      <c r="BB275" s="1" t="n"/>
      <c r="BC275" s="1" t="n"/>
      <c r="BD275" s="1" t="n"/>
      <c r="BE275" s="1" t="n"/>
      <c r="BF275" s="1" t="n"/>
      <c r="BG275" s="1" t="n"/>
      <c r="BH275" s="1" t="n"/>
      <c r="BI275" s="1" t="n"/>
      <c r="BJ275" s="1" t="n"/>
      <c r="BK275" s="1" t="n"/>
      <c r="BL275" s="1" t="n"/>
      <c r="BM275" s="1" t="n"/>
      <c r="BN275" s="1" t="n"/>
      <c r="BO275" s="1" t="n"/>
      <c r="BP275" s="1" t="n"/>
      <c r="BQ275" s="1" t="n"/>
      <c r="BR275" s="1" t="n"/>
      <c r="BS275" s="1" t="n"/>
      <c r="BT275" s="1" t="n"/>
      <c r="BU275" s="1" t="n"/>
      <c r="BV275" s="1" t="n"/>
      <c r="BW275" s="1" t="n"/>
      <c r="BX275" s="1" t="n"/>
      <c r="BY275" s="1" t="n"/>
      <c r="BZ275" s="1" t="n"/>
      <c r="CA275" s="1" t="n"/>
      <c r="CB275" s="1" t="n"/>
      <c r="CC275" s="1" t="n"/>
      <c r="CD275" s="1" t="n"/>
      <c r="CE275" s="1" t="n"/>
      <c r="CF275" s="1" t="n"/>
      <c r="CG275" s="1" t="n"/>
      <c r="CH275" s="1" t="n"/>
      <c r="CI275" s="1" t="n"/>
      <c r="CJ275" s="1" t="n"/>
      <c r="CK275" s="1" t="n"/>
      <c r="CL275" s="1" t="n"/>
      <c r="CM275" s="1" t="n"/>
      <c r="CN275" s="1" t="n"/>
      <c r="CO275" s="1" t="n"/>
      <c r="CP275" s="1" t="n"/>
      <c r="CQ275" s="1" t="n"/>
      <c r="CR275" s="1" t="n"/>
      <c r="CS275" s="1" t="n"/>
      <c r="CT275" s="1" t="n"/>
      <c r="CU275" s="1" t="n"/>
      <c r="CV275" s="1" t="n"/>
      <c r="CW275" s="1" t="n"/>
      <c r="CX275" s="1" t="n"/>
      <c r="CY275" s="1" t="n"/>
      <c r="CZ275" s="1" t="n"/>
      <c r="DA275" s="1" t="n"/>
      <c r="DB275" s="1" t="n"/>
      <c r="DC275" s="1" t="n"/>
      <c r="DD275" s="1" t="n"/>
      <c r="DE275" s="1" t="n"/>
      <c r="DF275" s="1" t="n"/>
      <c r="DG275" s="1" t="n"/>
      <c r="DH275" s="1" t="n"/>
      <c r="DI275" s="1" t="n"/>
      <c r="DJ275" s="1" t="n"/>
      <c r="DK275" s="1" t="n"/>
      <c r="DL275" s="1" t="n"/>
      <c r="DM275" s="1" t="n"/>
      <c r="DN275" s="1" t="n"/>
      <c r="DO275" s="1" t="n"/>
      <c r="DP275" s="1" t="n"/>
      <c r="DQ275" s="1" t="n"/>
      <c r="DR275" s="1" t="n"/>
      <c r="DS275" s="1" t="n"/>
      <c r="DT275" s="1" t="n"/>
      <c r="DU275" s="1" t="n"/>
      <c r="DV275" s="1" t="n"/>
      <c r="DW275" s="1" t="n"/>
      <c r="DX275" s="1" t="n"/>
      <c r="DY275" s="1" t="n"/>
      <c r="DZ275" s="1" t="n"/>
      <c r="EA275" s="1" t="n"/>
      <c r="EB275" s="1" t="n"/>
      <c r="EC275" s="1" t="n"/>
      <c r="ED275" s="1" t="n"/>
      <c r="EE275" s="1" t="n"/>
      <c r="EF275" s="1" t="n"/>
      <c r="EG275" s="1" t="n"/>
      <c r="EH275" s="1" t="n"/>
      <c r="EI275" s="1" t="n"/>
      <c r="EJ275" s="1" t="n"/>
      <c r="EK275" s="1" t="n"/>
      <c r="EL275" s="1" t="n"/>
      <c r="EM275" s="1" t="n"/>
      <c r="EN275" s="1" t="n"/>
      <c r="EO275" s="1" t="n"/>
      <c r="EP275" s="1" t="n"/>
      <c r="EQ275" s="1" t="n"/>
      <c r="ER275" s="1" t="n"/>
      <c r="ES275" s="1" t="n"/>
      <c r="ET275" s="1" t="n"/>
      <c r="EU275" s="1" t="n"/>
      <c r="EV275" s="1" t="n"/>
      <c r="EW275" s="1" t="n"/>
      <c r="EX275" s="1" t="n"/>
      <c r="EY275" s="1" t="n"/>
    </row>
    <row r="276">
      <c r="I276" s="17" t="n"/>
      <c r="J276" s="17" t="n"/>
      <c r="K276" s="17" t="n"/>
      <c r="L276" s="17" t="n"/>
      <c r="M276" s="17" t="n"/>
      <c r="N276" s="17" t="n"/>
      <c r="O276" s="17" t="n"/>
      <c r="P276" s="17" t="n"/>
      <c r="Q276" s="17" t="n"/>
      <c r="R276" s="17" t="n"/>
      <c r="S276" s="17" t="n"/>
      <c r="T276" s="17" t="n"/>
      <c r="U276" s="17" t="n"/>
      <c r="V276" s="17" t="n"/>
      <c r="W276" s="17" t="n"/>
      <c r="X276" s="17" t="n"/>
      <c r="Y276" s="17" t="n"/>
      <c r="Z276" s="17" t="n"/>
      <c r="AA276" s="17" t="n"/>
      <c r="AB276" s="17" t="n"/>
      <c r="AC276" s="17" t="n"/>
      <c r="AD276" s="17" t="n"/>
      <c r="AE276" s="17" t="n"/>
      <c r="AF276" s="17" t="n"/>
      <c r="AG276" s="17" t="n"/>
      <c r="AH276" s="17" t="n"/>
      <c r="AI276" s="17" t="n"/>
      <c r="AJ276" s="17" t="n"/>
      <c r="AK276" s="17" t="n"/>
      <c r="AL276" s="17" t="n"/>
      <c r="AM276" s="17" t="n"/>
      <c r="AN276" s="17" t="n"/>
      <c r="AO276" s="17" t="n"/>
      <c r="AP276" s="17" t="n"/>
      <c r="AQ276" s="17" t="n"/>
      <c r="AR276" s="17" t="n"/>
      <c r="AS276" s="17" t="n"/>
      <c r="AT276" s="17" t="n"/>
      <c r="AU276" s="17" t="n"/>
      <c r="AV276" s="17" t="n"/>
      <c r="AW276" s="17" t="n"/>
      <c r="AX276" s="17" t="n"/>
      <c r="AY276" s="17" t="n"/>
      <c r="AZ276" s="17" t="n"/>
      <c r="BA276" s="17" t="n"/>
      <c r="BB276" s="17" t="n"/>
      <c r="BC276" s="17" t="n"/>
      <c r="BD276" s="17" t="n"/>
      <c r="BE276" s="17" t="n"/>
      <c r="BF276" s="17" t="n"/>
      <c r="BG276" s="17" t="n"/>
      <c r="BH276" s="17" t="n"/>
      <c r="BI276" s="17" t="n"/>
      <c r="BJ276" s="17" t="n"/>
      <c r="BK276" s="17" t="n"/>
      <c r="BL276" s="17" t="n"/>
      <c r="BM276" s="17" t="n"/>
      <c r="BN276" s="17" t="n"/>
      <c r="BO276" s="17" t="n"/>
      <c r="BP276" s="17" t="n"/>
      <c r="BQ276" s="17" t="n"/>
      <c r="BR276" s="17" t="n"/>
      <c r="BS276" s="17" t="n"/>
      <c r="BT276" s="17" t="n"/>
      <c r="BU276" s="17" t="n"/>
      <c r="BV276" s="17" t="n"/>
      <c r="BW276" s="17" t="n"/>
      <c r="BX276" s="17" t="n"/>
      <c r="BY276" s="17" t="n"/>
      <c r="BZ276" s="17" t="n"/>
      <c r="CA276" s="17" t="n"/>
      <c r="CB276" s="17" t="n"/>
      <c r="CC276" s="17" t="n"/>
      <c r="CD276" s="17" t="n"/>
      <c r="CE276" s="17" t="n"/>
      <c r="CF276" s="17" t="n"/>
      <c r="CG276" s="17" t="n"/>
      <c r="CH276" s="17" t="n"/>
      <c r="CI276" s="17" t="n"/>
      <c r="CJ276" s="17" t="n"/>
      <c r="CK276" s="17" t="n"/>
      <c r="CL276" s="17" t="n"/>
      <c r="CM276" s="17" t="n"/>
      <c r="CN276" s="17" t="n"/>
      <c r="CO276" s="17" t="n"/>
      <c r="CP276" s="17" t="n"/>
      <c r="CQ276" s="17" t="n"/>
      <c r="CR276" s="17" t="n"/>
      <c r="CS276" s="17" t="n"/>
      <c r="CT276" s="17" t="n"/>
      <c r="CU276" s="17" t="n"/>
      <c r="CV276" s="17" t="n"/>
      <c r="CW276" s="17" t="n"/>
      <c r="CX276" s="17" t="n"/>
      <c r="CY276" s="17" t="n"/>
      <c r="CZ276" s="17" t="n"/>
      <c r="DA276" s="17" t="n"/>
      <c r="DB276" s="17" t="n"/>
      <c r="DC276" s="17" t="n"/>
      <c r="DD276" s="17" t="n"/>
      <c r="DE276" s="17" t="n"/>
      <c r="DF276" s="17" t="n"/>
      <c r="DG276" s="17" t="n"/>
      <c r="DH276" s="17" t="n"/>
      <c r="DI276" s="17" t="n"/>
      <c r="DJ276" s="17" t="n"/>
      <c r="DK276" s="17" t="n"/>
      <c r="DL276" s="17" t="n"/>
      <c r="DM276" s="17" t="n"/>
      <c r="DN276" s="17" t="n"/>
      <c r="DO276" s="17" t="n"/>
      <c r="DP276" s="17" t="n"/>
      <c r="DQ276" s="17" t="n"/>
      <c r="DR276" s="17" t="n"/>
      <c r="DS276" s="17" t="n"/>
      <c r="DT276" s="17" t="n"/>
      <c r="DU276" s="17" t="n"/>
      <c r="DV276" s="17" t="n"/>
      <c r="DW276" s="17" t="n"/>
      <c r="DX276" s="17" t="n"/>
      <c r="DY276" s="17" t="n"/>
      <c r="DZ276" s="17" t="n"/>
      <c r="EA276" s="17" t="n"/>
      <c r="EB276" s="17" t="n"/>
      <c r="EC276" s="17" t="n"/>
      <c r="ED276" s="17" t="n"/>
      <c r="EE276" s="17" t="n"/>
      <c r="EF276" s="17" t="n"/>
      <c r="EG276" s="17" t="n"/>
      <c r="EH276" s="17" t="n"/>
      <c r="EI276" s="17" t="n"/>
      <c r="EJ276" s="17" t="n"/>
      <c r="EK276" s="17" t="n"/>
      <c r="EL276" s="17" t="n"/>
      <c r="EM276" s="17" t="n"/>
      <c r="EN276" s="17" t="n"/>
      <c r="EO276" s="17" t="n"/>
      <c r="EP276" s="17" t="n"/>
      <c r="EQ276" s="17" t="n"/>
      <c r="ER276" s="17" t="n"/>
      <c r="ES276" s="17" t="n"/>
      <c r="ET276" s="17" t="n"/>
      <c r="EU276" s="17" t="n"/>
      <c r="EV276" s="17" t="n"/>
      <c r="EW276" s="17" t="n"/>
      <c r="EX276" s="17" t="n"/>
      <c r="EY276" s="17" t="n"/>
    </row>
    <row r="277"/>
    <row r="278" customFormat="1" s="5">
      <c r="A278" s="1" t="n"/>
      <c r="B278" s="3" t="n"/>
      <c r="C278" s="3" t="n"/>
      <c r="D278" s="82" t="n"/>
      <c r="E278" s="29" t="n"/>
      <c r="F278" s="16" t="n"/>
      <c r="G278" s="42" t="n"/>
      <c r="H278" s="135"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c r="AC278" s="1" t="n"/>
      <c r="AD278" s="1" t="n"/>
      <c r="AE278" s="1" t="n"/>
      <c r="AF278" s="1" t="n"/>
      <c r="AG278" s="1" t="n"/>
      <c r="AH278" s="1" t="n"/>
      <c r="AI278" s="1" t="n"/>
      <c r="AJ278" s="1" t="n"/>
      <c r="AK278" s="1" t="n"/>
      <c r="AL278" s="1" t="n"/>
      <c r="AM278" s="1" t="n"/>
      <c r="AN278" s="1" t="n"/>
      <c r="AO278" s="1" t="n"/>
      <c r="AP278" s="1" t="n"/>
      <c r="AQ278" s="1" t="n"/>
      <c r="AR278" s="1" t="n"/>
      <c r="AS278" s="1" t="n"/>
      <c r="AT278" s="1" t="n"/>
      <c r="AU278" s="1" t="n"/>
      <c r="AV278" s="1" t="n"/>
      <c r="AW278" s="1" t="n"/>
      <c r="AX278" s="1" t="n"/>
      <c r="AY278" s="1" t="n"/>
      <c r="AZ278" s="1" t="n"/>
      <c r="BA278" s="1" t="n"/>
      <c r="BB278" s="1" t="n"/>
      <c r="BC278" s="1" t="n"/>
      <c r="BD278" s="1" t="n"/>
      <c r="BE278" s="1" t="n"/>
      <c r="BF278" s="1" t="n"/>
      <c r="BG278" s="1" t="n"/>
      <c r="BH278" s="1" t="n"/>
      <c r="BI278" s="1" t="n"/>
      <c r="BJ278" s="1" t="n"/>
      <c r="BK278" s="1" t="n"/>
      <c r="BL278" s="1" t="n"/>
      <c r="BM278" s="1" t="n"/>
      <c r="BN278" s="1" t="n"/>
      <c r="BO278" s="1" t="n"/>
      <c r="BP278" s="1" t="n"/>
      <c r="BQ278" s="1" t="n"/>
      <c r="BR278" s="1" t="n"/>
      <c r="BS278" s="1" t="n"/>
      <c r="BT278" s="1" t="n"/>
      <c r="BU278" s="1" t="n"/>
      <c r="BV278" s="1" t="n"/>
      <c r="BW278" s="1" t="n"/>
      <c r="BX278" s="1" t="n"/>
      <c r="BY278" s="1" t="n"/>
      <c r="BZ278" s="1" t="n"/>
      <c r="CA278" s="1" t="n"/>
      <c r="CB278" s="1" t="n"/>
      <c r="CC278" s="1" t="n"/>
      <c r="CD278" s="1" t="n"/>
      <c r="CE278" s="1" t="n"/>
      <c r="CF278" s="1" t="n"/>
      <c r="CG278" s="1" t="n"/>
      <c r="CH278" s="1" t="n"/>
      <c r="CI278" s="1" t="n"/>
      <c r="CJ278" s="1" t="n"/>
      <c r="CK278" s="1" t="n"/>
      <c r="CL278" s="1" t="n"/>
      <c r="CM278" s="1" t="n"/>
      <c r="CN278" s="1" t="n"/>
      <c r="CO278" s="1" t="n"/>
      <c r="CP278" s="1" t="n"/>
      <c r="CQ278" s="1" t="n"/>
      <c r="CR278" s="1" t="n"/>
      <c r="CS278" s="1" t="n"/>
      <c r="CT278" s="1" t="n"/>
      <c r="CU278" s="1" t="n"/>
      <c r="CV278" s="1" t="n"/>
      <c r="CW278" s="1" t="n"/>
      <c r="CX278" s="1" t="n"/>
      <c r="CY278" s="1" t="n"/>
      <c r="CZ278" s="1" t="n"/>
      <c r="DA278" s="1" t="n"/>
      <c r="DB278" s="1" t="n"/>
      <c r="DC278" s="1" t="n"/>
      <c r="DD278" s="1" t="n"/>
      <c r="DE278" s="1" t="n"/>
      <c r="DF278" s="1" t="n"/>
      <c r="DG278" s="1" t="n"/>
      <c r="DH278" s="1" t="n"/>
      <c r="DI278" s="1" t="n"/>
      <c r="DJ278" s="1" t="n"/>
      <c r="DK278" s="1" t="n"/>
      <c r="DL278" s="1" t="n"/>
      <c r="DM278" s="1" t="n"/>
      <c r="DN278" s="1" t="n"/>
      <c r="DO278" s="1" t="n"/>
      <c r="DP278" s="1" t="n"/>
      <c r="DQ278" s="1" t="n"/>
      <c r="DR278" s="1" t="n"/>
      <c r="DS278" s="1" t="n"/>
      <c r="DT278" s="1" t="n"/>
      <c r="DU278" s="1" t="n"/>
      <c r="DV278" s="1" t="n"/>
      <c r="DW278" s="1" t="n"/>
      <c r="DX278" s="1" t="n"/>
      <c r="DY278" s="1" t="n"/>
      <c r="DZ278" s="1" t="n"/>
      <c r="EA278" s="1" t="n"/>
      <c r="EB278" s="1" t="n"/>
      <c r="EC278" s="1" t="n"/>
      <c r="ED278" s="1" t="n"/>
      <c r="EE278" s="1" t="n"/>
      <c r="EF278" s="1" t="n"/>
      <c r="EG278" s="1" t="n"/>
      <c r="EH278" s="1" t="n"/>
      <c r="EI278" s="1" t="n"/>
      <c r="EJ278" s="1" t="n"/>
      <c r="EK278" s="1" t="n"/>
      <c r="EL278" s="1" t="n"/>
      <c r="EM278" s="1" t="n"/>
      <c r="EN278" s="1" t="n"/>
      <c r="EO278" s="1" t="n"/>
      <c r="EP278" s="1" t="n"/>
      <c r="EQ278" s="1" t="n"/>
      <c r="ER278" s="1" t="n"/>
      <c r="ES278" s="1" t="n"/>
      <c r="ET278" s="1" t="n"/>
      <c r="EU278" s="1" t="n"/>
      <c r="EV278" s="1" t="n"/>
      <c r="EW278" s="1" t="n"/>
      <c r="EX278" s="1" t="n"/>
      <c r="EY278" s="1" t="n"/>
    </row>
    <row r="279" customFormat="1" s="5">
      <c r="A279" s="1" t="n"/>
      <c r="B279" s="3" t="n"/>
      <c r="C279" s="3" t="n"/>
      <c r="D279" s="82" t="n"/>
      <c r="E279" s="29" t="n"/>
      <c r="F279" s="16" t="n"/>
      <c r="G279" s="42" t="n"/>
      <c r="H279" s="135" t="n"/>
    </row>
    <row r="280">
      <c r="I280" s="5" t="n"/>
      <c r="J280" s="5" t="n"/>
      <c r="K280" s="5" t="n"/>
      <c r="L280" s="5" t="n"/>
      <c r="M280" s="5" t="n"/>
      <c r="N280" s="5" t="n"/>
      <c r="O280" s="5" t="n"/>
      <c r="P280" s="5" t="n"/>
      <c r="Q280" s="5" t="n"/>
      <c r="R280" s="5" t="n"/>
      <c r="S280" s="5" t="n"/>
      <c r="T280" s="5" t="n"/>
      <c r="U280" s="5" t="n"/>
      <c r="V280" s="5" t="n"/>
      <c r="W280" s="5" t="n"/>
      <c r="X280" s="5" t="n"/>
      <c r="Y280" s="5" t="n"/>
      <c r="Z280" s="5" t="n"/>
      <c r="AA280" s="5" t="n"/>
      <c r="AB280" s="5" t="n"/>
      <c r="AC280" s="5" t="n"/>
      <c r="AD280" s="5" t="n"/>
      <c r="AE280" s="5" t="n"/>
      <c r="AF280" s="5" t="n"/>
      <c r="AG280" s="5" t="n"/>
      <c r="AH280" s="5" t="n"/>
      <c r="AI280" s="5" t="n"/>
      <c r="AJ280" s="5" t="n"/>
      <c r="AK280" s="5" t="n"/>
      <c r="AL280" s="5" t="n"/>
      <c r="AM280" s="5" t="n"/>
      <c r="AN280" s="5" t="n"/>
      <c r="AO280" s="5" t="n"/>
      <c r="AP280" s="5" t="n"/>
      <c r="AQ280" s="5" t="n"/>
      <c r="AR280" s="5" t="n"/>
      <c r="AS280" s="5" t="n"/>
      <c r="AT280" s="5" t="n"/>
      <c r="AU280" s="5" t="n"/>
      <c r="AV280" s="5" t="n"/>
      <c r="AW280" s="5" t="n"/>
      <c r="AX280" s="5" t="n"/>
      <c r="AY280" s="5" t="n"/>
      <c r="AZ280" s="5" t="n"/>
      <c r="BA280" s="5" t="n"/>
      <c r="BB280" s="5" t="n"/>
      <c r="BC280" s="5" t="n"/>
      <c r="BD280" s="5" t="n"/>
      <c r="BE280" s="5" t="n"/>
      <c r="BF280" s="5" t="n"/>
      <c r="BG280" s="5" t="n"/>
      <c r="BH280" s="5" t="n"/>
      <c r="BI280" s="5" t="n"/>
      <c r="BJ280" s="5" t="n"/>
      <c r="BK280" s="5" t="n"/>
      <c r="BL280" s="5" t="n"/>
      <c r="BM280" s="5" t="n"/>
      <c r="BN280" s="5" t="n"/>
      <c r="BO280" s="5" t="n"/>
      <c r="BP280" s="5" t="n"/>
      <c r="BQ280" s="5" t="n"/>
      <c r="BR280" s="5" t="n"/>
      <c r="BS280" s="5" t="n"/>
      <c r="BT280" s="5" t="n"/>
      <c r="BU280" s="5" t="n"/>
      <c r="BV280" s="5" t="n"/>
      <c r="BW280" s="5" t="n"/>
      <c r="BX280" s="5" t="n"/>
      <c r="BY280" s="5" t="n"/>
      <c r="BZ280" s="5" t="n"/>
      <c r="CA280" s="5" t="n"/>
      <c r="CB280" s="5" t="n"/>
      <c r="CC280" s="5" t="n"/>
      <c r="CD280" s="5" t="n"/>
      <c r="CE280" s="5" t="n"/>
      <c r="CF280" s="5" t="n"/>
      <c r="CG280" s="5" t="n"/>
      <c r="CH280" s="5" t="n"/>
      <c r="CI280" s="5" t="n"/>
      <c r="CJ280" s="5" t="n"/>
      <c r="CK280" s="5" t="n"/>
      <c r="CL280" s="5" t="n"/>
      <c r="CM280" s="5" t="n"/>
      <c r="CN280" s="5" t="n"/>
      <c r="CO280" s="5" t="n"/>
      <c r="CP280" s="5" t="n"/>
      <c r="CQ280" s="5" t="n"/>
      <c r="CR280" s="5" t="n"/>
      <c r="CS280" s="5" t="n"/>
      <c r="CT280" s="5" t="n"/>
      <c r="CU280" s="5" t="n"/>
      <c r="CV280" s="5" t="n"/>
      <c r="CW280" s="5" t="n"/>
      <c r="CX280" s="5" t="n"/>
      <c r="CY280" s="5" t="n"/>
      <c r="CZ280" s="5" t="n"/>
      <c r="DA280" s="5" t="n"/>
      <c r="DB280" s="5" t="n"/>
      <c r="DC280" s="5" t="n"/>
      <c r="DD280" s="5" t="n"/>
      <c r="DE280" s="5" t="n"/>
      <c r="DF280" s="5" t="n"/>
      <c r="DG280" s="5" t="n"/>
      <c r="DH280" s="5" t="n"/>
      <c r="DI280" s="5" t="n"/>
      <c r="DJ280" s="5" t="n"/>
      <c r="DK280" s="5" t="n"/>
      <c r="DL280" s="5" t="n"/>
      <c r="DM280" s="5" t="n"/>
      <c r="DN280" s="5" t="n"/>
      <c r="DO280" s="5" t="n"/>
      <c r="DP280" s="5" t="n"/>
      <c r="DQ280" s="5" t="n"/>
      <c r="DR280" s="5" t="n"/>
      <c r="DS280" s="5" t="n"/>
      <c r="DT280" s="5" t="n"/>
      <c r="DU280" s="5" t="n"/>
      <c r="DV280" s="5" t="n"/>
      <c r="DW280" s="5" t="n"/>
      <c r="DX280" s="5" t="n"/>
      <c r="DY280" s="5" t="n"/>
      <c r="DZ280" s="5" t="n"/>
      <c r="EA280" s="5" t="n"/>
      <c r="EB280" s="5" t="n"/>
      <c r="EC280" s="5" t="n"/>
      <c r="ED280" s="5" t="n"/>
      <c r="EE280" s="5" t="n"/>
      <c r="EF280" s="5" t="n"/>
      <c r="EG280" s="5" t="n"/>
      <c r="EH280" s="5" t="n"/>
      <c r="EI280" s="5" t="n"/>
      <c r="EJ280" s="5" t="n"/>
      <c r="EK280" s="5" t="n"/>
      <c r="EL280" s="5" t="n"/>
      <c r="EM280" s="5" t="n"/>
      <c r="EN280" s="5" t="n"/>
      <c r="EO280" s="5" t="n"/>
      <c r="EP280" s="5" t="n"/>
      <c r="EQ280" s="5" t="n"/>
      <c r="ER280" s="5" t="n"/>
      <c r="ES280" s="5" t="n"/>
      <c r="ET280" s="5" t="n"/>
      <c r="EU280" s="5" t="n"/>
      <c r="EV280" s="5" t="n"/>
      <c r="EW280" s="5" t="n"/>
      <c r="EX280" s="5" t="n"/>
    </row>
    <row r="281" customFormat="1" s="5">
      <c r="A281" s="1" t="n"/>
      <c r="B281" s="3" t="n"/>
      <c r="C281" s="3" t="n"/>
      <c r="D281" s="82" t="n"/>
      <c r="E281" s="29" t="n"/>
      <c r="F281" s="16" t="n"/>
      <c r="G281" s="42" t="n"/>
      <c r="H281" s="135"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c r="AC281" s="1" t="n"/>
      <c r="AD281" s="1" t="n"/>
      <c r="AE281" s="1" t="n"/>
      <c r="AF281" s="1" t="n"/>
      <c r="AG281" s="1" t="n"/>
      <c r="AH281" s="1" t="n"/>
      <c r="AI281" s="1" t="n"/>
      <c r="AJ281" s="1" t="n"/>
      <c r="AK281" s="1" t="n"/>
      <c r="AL281" s="1" t="n"/>
      <c r="AM281" s="1" t="n"/>
      <c r="AN281" s="1" t="n"/>
      <c r="AO281" s="1" t="n"/>
      <c r="AP281" s="1" t="n"/>
      <c r="AQ281" s="1" t="n"/>
      <c r="AR281" s="1" t="n"/>
      <c r="AS281" s="1" t="n"/>
      <c r="AT281" s="1" t="n"/>
      <c r="AU281" s="1" t="n"/>
      <c r="AV281" s="1" t="n"/>
      <c r="AW281" s="1" t="n"/>
      <c r="AX281" s="1" t="n"/>
      <c r="AY281" s="1" t="n"/>
      <c r="AZ281" s="1" t="n"/>
      <c r="BA281" s="1" t="n"/>
      <c r="BB281" s="1" t="n"/>
      <c r="BC281" s="1" t="n"/>
      <c r="BD281" s="1" t="n"/>
      <c r="BE281" s="1" t="n"/>
      <c r="BF281" s="1" t="n"/>
      <c r="BG281" s="1" t="n"/>
      <c r="BH281" s="1" t="n"/>
      <c r="BI281" s="1" t="n"/>
      <c r="BJ281" s="1" t="n"/>
      <c r="BK281" s="1" t="n"/>
      <c r="BL281" s="1" t="n"/>
      <c r="BM281" s="1" t="n"/>
      <c r="BN281" s="1" t="n"/>
      <c r="BO281" s="1" t="n"/>
      <c r="BP281" s="1" t="n"/>
      <c r="BQ281" s="1" t="n"/>
      <c r="BR281" s="1" t="n"/>
      <c r="BS281" s="1" t="n"/>
      <c r="BT281" s="1" t="n"/>
      <c r="BU281" s="1" t="n"/>
      <c r="BV281" s="1" t="n"/>
      <c r="BW281" s="1" t="n"/>
      <c r="BX281" s="1" t="n"/>
      <c r="BY281" s="1" t="n"/>
      <c r="BZ281" s="1" t="n"/>
      <c r="CA281" s="1" t="n"/>
      <c r="CB281" s="1" t="n"/>
      <c r="CC281" s="1" t="n"/>
      <c r="CD281" s="1" t="n"/>
      <c r="CE281" s="1" t="n"/>
      <c r="CF281" s="1" t="n"/>
      <c r="CG281" s="1" t="n"/>
      <c r="CH281" s="1" t="n"/>
      <c r="CI281" s="1" t="n"/>
      <c r="CJ281" s="1" t="n"/>
      <c r="CK281" s="1" t="n"/>
      <c r="CL281" s="1" t="n"/>
      <c r="CM281" s="1" t="n"/>
      <c r="CN281" s="1" t="n"/>
      <c r="CO281" s="1" t="n"/>
      <c r="CP281" s="1" t="n"/>
      <c r="CQ281" s="1" t="n"/>
      <c r="CR281" s="1" t="n"/>
      <c r="CS281" s="1" t="n"/>
      <c r="CT281" s="1" t="n"/>
      <c r="CU281" s="1" t="n"/>
      <c r="CV281" s="1" t="n"/>
      <c r="CW281" s="1" t="n"/>
      <c r="CX281" s="1" t="n"/>
      <c r="CY281" s="1" t="n"/>
      <c r="CZ281" s="1" t="n"/>
      <c r="DA281" s="1" t="n"/>
      <c r="DB281" s="1" t="n"/>
      <c r="DC281" s="1" t="n"/>
      <c r="DD281" s="1" t="n"/>
      <c r="DE281" s="1" t="n"/>
      <c r="DF281" s="1" t="n"/>
      <c r="DG281" s="1" t="n"/>
      <c r="DH281" s="1" t="n"/>
      <c r="DI281" s="1" t="n"/>
      <c r="DJ281" s="1" t="n"/>
      <c r="DK281" s="1" t="n"/>
      <c r="DL281" s="1" t="n"/>
      <c r="DM281" s="1" t="n"/>
      <c r="DN281" s="1" t="n"/>
      <c r="DO281" s="1" t="n"/>
      <c r="DP281" s="1" t="n"/>
      <c r="DQ281" s="1" t="n"/>
      <c r="DR281" s="1" t="n"/>
      <c r="DS281" s="1" t="n"/>
      <c r="DT281" s="1" t="n"/>
      <c r="DU281" s="1" t="n"/>
      <c r="DV281" s="1" t="n"/>
      <c r="DW281" s="1" t="n"/>
      <c r="DX281" s="1" t="n"/>
      <c r="DY281" s="1" t="n"/>
      <c r="DZ281" s="1" t="n"/>
      <c r="EA281" s="1" t="n"/>
      <c r="EB281" s="1" t="n"/>
      <c r="EC281" s="1" t="n"/>
      <c r="ED281" s="1" t="n"/>
      <c r="EE281" s="1" t="n"/>
      <c r="EF281" s="1" t="n"/>
      <c r="EG281" s="1" t="n"/>
      <c r="EH281" s="1" t="n"/>
      <c r="EI281" s="1" t="n"/>
      <c r="EJ281" s="1" t="n"/>
      <c r="EK281" s="1" t="n"/>
      <c r="EL281" s="1" t="n"/>
      <c r="EM281" s="1" t="n"/>
      <c r="EN281" s="1" t="n"/>
      <c r="EO281" s="1" t="n"/>
      <c r="EP281" s="1" t="n"/>
      <c r="EQ281" s="1" t="n"/>
      <c r="ER281" s="1" t="n"/>
      <c r="ES281" s="1" t="n"/>
      <c r="ET281" s="1" t="n"/>
      <c r="EU281" s="1" t="n"/>
      <c r="EV281" s="1" t="n"/>
      <c r="EW281" s="1" t="n"/>
      <c r="EX281" s="1" t="n"/>
      <c r="EY281" s="1" t="n"/>
    </row>
    <row r="282" customFormat="1" s="5">
      <c r="A282" s="1" t="n"/>
      <c r="B282" s="3" t="n"/>
      <c r="C282" s="3" t="n"/>
      <c r="D282" s="82" t="n"/>
      <c r="E282" s="29" t="n"/>
      <c r="F282" s="16" t="n"/>
      <c r="G282" s="42" t="n"/>
      <c r="H282" s="135" t="n"/>
    </row>
    <row r="283" customFormat="1" s="5">
      <c r="A283" s="1" t="n"/>
      <c r="B283" s="3" t="n"/>
      <c r="C283" s="3" t="n"/>
      <c r="D283" s="82" t="n"/>
      <c r="E283" s="29" t="n"/>
      <c r="F283" s="16" t="n"/>
      <c r="G283" s="42" t="n"/>
      <c r="H283" s="135" t="n"/>
    </row>
    <row r="284" customFormat="1" s="5">
      <c r="A284" s="1" t="n"/>
      <c r="B284" s="3" t="n"/>
      <c r="C284" s="3" t="n"/>
      <c r="D284" s="82" t="n"/>
      <c r="E284" s="29" t="n"/>
      <c r="F284" s="16" t="n"/>
      <c r="G284" s="42" t="n"/>
      <c r="H284" s="135" t="n"/>
    </row>
    <row r="285" customFormat="1" s="5">
      <c r="A285" s="1" t="n"/>
      <c r="B285" s="3" t="n"/>
      <c r="C285" s="3" t="n"/>
      <c r="D285" s="82" t="n"/>
      <c r="E285" s="29" t="n"/>
      <c r="F285" s="16" t="n"/>
      <c r="G285" s="42" t="n"/>
      <c r="H285" s="135" t="n"/>
    </row>
    <row r="286" customFormat="1" s="5">
      <c r="A286" s="1" t="n"/>
      <c r="B286" s="3" t="n"/>
      <c r="C286" s="3" t="n"/>
      <c r="D286" s="82" t="n"/>
      <c r="E286" s="29" t="n"/>
      <c r="F286" s="16" t="n"/>
      <c r="G286" s="42" t="n"/>
      <c r="H286" s="135" t="n"/>
    </row>
    <row r="287" customFormat="1" s="5">
      <c r="A287" s="1" t="n"/>
      <c r="B287" s="3" t="n"/>
      <c r="C287" s="3" t="n"/>
      <c r="D287" s="82" t="n"/>
      <c r="E287" s="29" t="n"/>
      <c r="F287" s="16" t="n"/>
      <c r="G287" s="42" t="n"/>
      <c r="H287" s="135" t="n"/>
    </row>
    <row r="288" customFormat="1" s="5">
      <c r="A288" s="1" t="n"/>
      <c r="B288" s="3" t="n"/>
      <c r="C288" s="3" t="n"/>
      <c r="D288" s="82" t="n"/>
      <c r="E288" s="29" t="n"/>
      <c r="F288" s="16" t="n"/>
      <c r="G288" s="42" t="n"/>
      <c r="H288" s="135" t="n"/>
    </row>
    <row r="289" customFormat="1" s="5">
      <c r="A289" s="1" t="n"/>
      <c r="B289" s="3" t="n"/>
      <c r="C289" s="3" t="n"/>
      <c r="D289" s="82" t="n"/>
      <c r="E289" s="29" t="n"/>
      <c r="F289" s="16" t="n"/>
      <c r="G289" s="42" t="n"/>
      <c r="H289" s="135" t="n"/>
    </row>
    <row r="290" customFormat="1" s="5">
      <c r="A290" s="1" t="n"/>
      <c r="B290" s="3" t="n"/>
      <c r="C290" s="3" t="n"/>
      <c r="D290" s="82" t="n"/>
      <c r="E290" s="29" t="n"/>
      <c r="F290" s="16" t="n"/>
      <c r="G290" s="42" t="n"/>
      <c r="H290" s="135" t="n"/>
    </row>
    <row r="291" customFormat="1" s="5">
      <c r="A291" s="1" t="n"/>
      <c r="B291" s="3" t="n"/>
      <c r="C291" s="3" t="n"/>
      <c r="D291" s="82" t="n"/>
      <c r="E291" s="29" t="n"/>
      <c r="F291" s="16" t="n"/>
      <c r="G291" s="42" t="n"/>
      <c r="H291" s="135" t="n"/>
    </row>
    <row r="292">
      <c r="I292" s="5" t="n"/>
      <c r="J292" s="5" t="n"/>
      <c r="K292" s="5" t="n"/>
      <c r="L292" s="5" t="n"/>
      <c r="M292" s="5" t="n"/>
      <c r="N292" s="5" t="n"/>
      <c r="O292" s="5" t="n"/>
      <c r="P292" s="5" t="n"/>
      <c r="Q292" s="5" t="n"/>
      <c r="R292" s="5" t="n"/>
      <c r="S292" s="5" t="n"/>
      <c r="T292" s="5" t="n"/>
      <c r="U292" s="5" t="n"/>
      <c r="V292" s="5" t="n"/>
      <c r="W292" s="5" t="n"/>
      <c r="X292" s="5" t="n"/>
      <c r="Y292" s="5" t="n"/>
      <c r="Z292" s="5" t="n"/>
      <c r="AA292" s="5" t="n"/>
      <c r="AB292" s="5" t="n"/>
      <c r="AC292" s="5" t="n"/>
      <c r="AD292" s="5" t="n"/>
      <c r="AE292" s="5" t="n"/>
      <c r="AF292" s="5" t="n"/>
      <c r="AG292" s="5" t="n"/>
      <c r="AH292" s="5" t="n"/>
      <c r="AI292" s="5" t="n"/>
      <c r="AJ292" s="5" t="n"/>
      <c r="AK292" s="5" t="n"/>
      <c r="AL292" s="5" t="n"/>
      <c r="AM292" s="5" t="n"/>
      <c r="AN292" s="5" t="n"/>
      <c r="AO292" s="5" t="n"/>
      <c r="AP292" s="5" t="n"/>
      <c r="AQ292" s="5" t="n"/>
      <c r="AR292" s="5" t="n"/>
      <c r="AS292" s="5" t="n"/>
      <c r="AT292" s="5" t="n"/>
      <c r="AU292" s="5" t="n"/>
      <c r="AV292" s="5" t="n"/>
      <c r="AW292" s="5" t="n"/>
      <c r="AX292" s="5" t="n"/>
      <c r="AY292" s="5" t="n"/>
      <c r="AZ292" s="5" t="n"/>
      <c r="BA292" s="5" t="n"/>
      <c r="BB292" s="5" t="n"/>
      <c r="BC292" s="5" t="n"/>
      <c r="BD292" s="5" t="n"/>
      <c r="BE292" s="5" t="n"/>
      <c r="BF292" s="5" t="n"/>
      <c r="BG292" s="5" t="n"/>
      <c r="BH292" s="5" t="n"/>
      <c r="BI292" s="5" t="n"/>
      <c r="BJ292" s="5" t="n"/>
      <c r="BK292" s="5" t="n"/>
      <c r="BL292" s="5" t="n"/>
      <c r="BM292" s="5" t="n"/>
      <c r="BN292" s="5" t="n"/>
      <c r="BO292" s="5" t="n"/>
      <c r="BP292" s="5" t="n"/>
      <c r="BQ292" s="5" t="n"/>
      <c r="BR292" s="5" t="n"/>
      <c r="BS292" s="5" t="n"/>
      <c r="BT292" s="5" t="n"/>
      <c r="BU292" s="5" t="n"/>
      <c r="BV292" s="5" t="n"/>
      <c r="BW292" s="5" t="n"/>
      <c r="BX292" s="5" t="n"/>
      <c r="BY292" s="5" t="n"/>
      <c r="BZ292" s="5" t="n"/>
      <c r="CA292" s="5" t="n"/>
      <c r="CB292" s="5" t="n"/>
      <c r="CC292" s="5" t="n"/>
      <c r="CD292" s="5" t="n"/>
      <c r="CE292" s="5" t="n"/>
      <c r="CF292" s="5" t="n"/>
      <c r="CG292" s="5" t="n"/>
      <c r="CH292" s="5" t="n"/>
      <c r="CI292" s="5" t="n"/>
      <c r="CJ292" s="5" t="n"/>
      <c r="CK292" s="5" t="n"/>
      <c r="CL292" s="5" t="n"/>
      <c r="CM292" s="5" t="n"/>
      <c r="CN292" s="5" t="n"/>
      <c r="CO292" s="5" t="n"/>
      <c r="CP292" s="5" t="n"/>
      <c r="CQ292" s="5" t="n"/>
      <c r="CR292" s="5" t="n"/>
      <c r="CS292" s="5" t="n"/>
      <c r="CT292" s="5" t="n"/>
      <c r="CU292" s="5" t="n"/>
      <c r="CV292" s="5" t="n"/>
      <c r="CW292" s="5" t="n"/>
      <c r="CX292" s="5" t="n"/>
      <c r="CY292" s="5" t="n"/>
      <c r="CZ292" s="5" t="n"/>
      <c r="DA292" s="5" t="n"/>
      <c r="DB292" s="5" t="n"/>
      <c r="DC292" s="5" t="n"/>
      <c r="DD292" s="5" t="n"/>
      <c r="DE292" s="5" t="n"/>
      <c r="DF292" s="5" t="n"/>
      <c r="DG292" s="5" t="n"/>
      <c r="DH292" s="5" t="n"/>
      <c r="DI292" s="5" t="n"/>
      <c r="DJ292" s="5" t="n"/>
      <c r="DK292" s="5" t="n"/>
      <c r="DL292" s="5" t="n"/>
      <c r="DM292" s="5" t="n"/>
      <c r="DN292" s="5" t="n"/>
      <c r="DO292" s="5" t="n"/>
      <c r="DP292" s="5" t="n"/>
      <c r="DQ292" s="5" t="n"/>
      <c r="DR292" s="5" t="n"/>
      <c r="DS292" s="5" t="n"/>
      <c r="DT292" s="5" t="n"/>
      <c r="DU292" s="5" t="n"/>
      <c r="DV292" s="5" t="n"/>
      <c r="DW292" s="5" t="n"/>
      <c r="DX292" s="5" t="n"/>
      <c r="DY292" s="5" t="n"/>
      <c r="DZ292" s="5" t="n"/>
      <c r="EA292" s="5" t="n"/>
      <c r="EB292" s="5" t="n"/>
      <c r="EC292" s="5" t="n"/>
      <c r="ED292" s="5" t="n"/>
      <c r="EE292" s="5" t="n"/>
      <c r="EF292" s="5" t="n"/>
      <c r="EG292" s="5" t="n"/>
      <c r="EH292" s="5" t="n"/>
      <c r="EI292" s="5" t="n"/>
      <c r="EJ292" s="5" t="n"/>
      <c r="EK292" s="5" t="n"/>
      <c r="EL292" s="5" t="n"/>
      <c r="EM292" s="5" t="n"/>
      <c r="EN292" s="5" t="n"/>
      <c r="EO292" s="5" t="n"/>
      <c r="EP292" s="5" t="n"/>
      <c r="EQ292" s="5" t="n"/>
      <c r="ER292" s="5" t="n"/>
      <c r="ES292" s="5" t="n"/>
      <c r="ET292" s="5" t="n"/>
      <c r="EU292" s="5" t="n"/>
      <c r="EV292" s="5" t="n"/>
      <c r="EW292" s="5" t="n"/>
      <c r="EX292" s="5" t="n"/>
      <c r="EY292" s="5" t="n"/>
    </row>
    <row r="293" customFormat="1" s="5">
      <c r="A293" s="1" t="n"/>
      <c r="B293" s="3" t="n"/>
      <c r="C293" s="3" t="n"/>
      <c r="D293" s="82" t="n"/>
      <c r="E293" s="29" t="n"/>
      <c r="F293" s="16" t="n"/>
      <c r="G293" s="42" t="n"/>
      <c r="H293" s="135" t="n"/>
    </row>
    <row r="294" customFormat="1" s="5">
      <c r="A294" s="1" t="n"/>
      <c r="B294" s="3" t="n"/>
      <c r="C294" s="3" t="n"/>
      <c r="D294" s="82" t="n"/>
      <c r="E294" s="29" t="n"/>
      <c r="F294" s="16" t="n"/>
      <c r="G294" s="42" t="n"/>
      <c r="H294" s="135" t="n"/>
    </row>
    <row r="295" customFormat="1" s="5">
      <c r="A295" s="1" t="n"/>
      <c r="B295" s="3" t="n"/>
      <c r="C295" s="3" t="n"/>
      <c r="D295" s="82" t="n"/>
      <c r="E295" s="29" t="n"/>
      <c r="F295" s="16" t="n"/>
      <c r="G295" s="42" t="n"/>
      <c r="H295" s="135" t="n"/>
    </row>
  </sheetData>
  <autoFilter ref="A16:G201"/>
  <mergeCells count="46">
    <mergeCell ref="A14:G14"/>
    <mergeCell ref="A90:F90"/>
    <mergeCell ref="B8:G8"/>
    <mergeCell ref="A136:F136"/>
    <mergeCell ref="A149:F149"/>
    <mergeCell ref="A18:F18"/>
    <mergeCell ref="A26:F26"/>
    <mergeCell ref="A139:F139"/>
    <mergeCell ref="H164:H165"/>
    <mergeCell ref="H167:H168"/>
    <mergeCell ref="A129:F129"/>
    <mergeCell ref="A71:F71"/>
    <mergeCell ref="A175:F175"/>
    <mergeCell ref="A76:F76"/>
    <mergeCell ref="A181:F181"/>
    <mergeCell ref="A188:F188"/>
    <mergeCell ref="B9:G9"/>
    <mergeCell ref="A22:F22"/>
    <mergeCell ref="A17:F17"/>
    <mergeCell ref="A35:F35"/>
    <mergeCell ref="H94:H95"/>
    <mergeCell ref="A62:F62"/>
    <mergeCell ref="A100:F100"/>
    <mergeCell ref="A25:F25"/>
    <mergeCell ref="B6:G6"/>
    <mergeCell ref="A81:F81"/>
    <mergeCell ref="A121:F121"/>
    <mergeCell ref="A1:G1"/>
    <mergeCell ref="A93:F93"/>
    <mergeCell ref="B5:G5"/>
    <mergeCell ref="B4:G4"/>
    <mergeCell ref="A48:F48"/>
    <mergeCell ref="A64:F64"/>
    <mergeCell ref="B7:G7"/>
    <mergeCell ref="B3:G3"/>
    <mergeCell ref="A49:F49"/>
    <mergeCell ref="A107:F107"/>
    <mergeCell ref="A60:F60"/>
    <mergeCell ref="A98:F98"/>
    <mergeCell ref="A123:F123"/>
    <mergeCell ref="A103:F103"/>
    <mergeCell ref="A110:F110"/>
    <mergeCell ref="A88:F88"/>
    <mergeCell ref="B12:G12"/>
    <mergeCell ref="A69:F69"/>
    <mergeCell ref="B11:G11"/>
  </mergeCells>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title xmlns:dc="http://purl.org/dc/elements/1.1/">Contrat unique - Annexe IV</dc:title>
  <dc:subject xmlns:dc="http://purl.org/dc/elements/1.1/">Contrat unique 2014</dc:subject>
  <dcterms:created xmlns:dcterms="http://purl.org/dc/terms/" xmlns:xsi="http://www.w3.org/2001/XMLSchema-instance" xsi:type="dcterms:W3CDTF">2006-09-12T15:06:44Z</dcterms:created>
  <dcterms:modified xmlns:dcterms="http://purl.org/dc/terms/" xmlns:xsi="http://www.w3.org/2001/XMLSchema-instance" xsi:type="dcterms:W3CDTF">2025-07-06T10:53:39Z</dcterms:modified>
  <cp:category>Circulaire</cp:category>
  <cp:keywords>DGOS, PF4</cp:keywords>
</cp:coreProperties>
</file>